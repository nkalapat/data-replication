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hilakalapatapu/Downloads/"/>
    </mc:Choice>
  </mc:AlternateContent>
  <xr:revisionPtr revIDLastSave="0" documentId="13_ncr:1_{C5C5BADB-A122-8B42-9902-FF1F63A27A86}" xr6:coauthVersionLast="47" xr6:coauthVersionMax="47" xr10:uidLastSave="{00000000-0000-0000-0000-000000000000}"/>
  <bookViews>
    <workbookView xWindow="0" yWindow="740" windowWidth="29400" windowHeight="18380" firstSheet="3" activeTab="4" xr2:uid="{CEDAFA4A-5390-47CB-A416-172EEA065F98}"/>
  </bookViews>
  <sheets>
    <sheet name="Characteristics of the study po" sheetId="1" r:id="rId1"/>
    <sheet name="FITC-Dextran" sheetId="2" r:id="rId2"/>
    <sheet name="Immunofluorescence staining" sheetId="3" r:id="rId3"/>
    <sheet name="western blot" sheetId="4" r:id="rId4"/>
    <sheet name="WB Re-organized" sheetId="13" r:id="rId5"/>
    <sheet name="MWM CE D1-D5" sheetId="5" r:id="rId6"/>
    <sheet name="MWM CE D6" sheetId="6" r:id="rId7"/>
    <sheet name="MWM MF D1-D5" sheetId="7" r:id="rId8"/>
    <sheet name="MWM MF D6" sheetId="8" r:id="rId9"/>
    <sheet name="NOR CE" sheetId="9" r:id="rId10"/>
    <sheet name="NOR CE Re-organized" sheetId="11" r:id="rId11"/>
    <sheet name="NOR MF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1" l="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D2" i="10"/>
  <c r="K2" i="10"/>
  <c r="D3" i="10"/>
  <c r="K3" i="10"/>
  <c r="U3" i="10"/>
  <c r="D4" i="10"/>
  <c r="K4" i="10"/>
  <c r="O4" i="10"/>
  <c r="Y4" i="10"/>
  <c r="D5" i="10"/>
  <c r="K5" i="10"/>
  <c r="D6" i="10"/>
  <c r="K6" i="10"/>
  <c r="D7" i="10"/>
  <c r="K7" i="10"/>
  <c r="D8" i="10"/>
  <c r="K8" i="10"/>
  <c r="D9" i="10"/>
  <c r="K9" i="10"/>
  <c r="D10" i="10"/>
  <c r="K10" i="10"/>
  <c r="D11" i="10"/>
  <c r="K11" i="10"/>
  <c r="D2" i="9"/>
  <c r="K2" i="9"/>
  <c r="D3" i="9"/>
  <c r="K3" i="9"/>
  <c r="D4" i="9"/>
  <c r="K4" i="9"/>
  <c r="O4" i="9"/>
  <c r="Y4" i="9"/>
  <c r="D5" i="9"/>
  <c r="K5" i="9"/>
  <c r="D6" i="9"/>
  <c r="K6" i="9"/>
  <c r="D7" i="9"/>
  <c r="K7" i="9"/>
  <c r="D8" i="9"/>
  <c r="K8" i="9"/>
  <c r="D9" i="9"/>
  <c r="K9" i="9"/>
  <c r="D10" i="9"/>
  <c r="K10" i="9"/>
  <c r="D11" i="9"/>
  <c r="K11" i="9"/>
  <c r="V4" i="8" l="1"/>
  <c r="W4" i="8"/>
  <c r="V5" i="8"/>
  <c r="W5" i="8"/>
  <c r="M3" i="7"/>
  <c r="N3" i="7"/>
  <c r="O3" i="7"/>
  <c r="P3" i="7"/>
  <c r="P26" i="7" s="1"/>
  <c r="Q3" i="7"/>
  <c r="Q26" i="7" s="1"/>
  <c r="M4" i="7"/>
  <c r="M26" i="7" s="1"/>
  <c r="N4" i="7"/>
  <c r="O4" i="7"/>
  <c r="P4" i="7"/>
  <c r="Q4" i="7"/>
  <c r="M5" i="7"/>
  <c r="N5" i="7"/>
  <c r="O5" i="7"/>
  <c r="P5" i="7"/>
  <c r="Q5" i="7"/>
  <c r="M6" i="7"/>
  <c r="N6" i="7"/>
  <c r="O6" i="7"/>
  <c r="P6" i="7"/>
  <c r="Q6" i="7"/>
  <c r="M7" i="7"/>
  <c r="N7" i="7"/>
  <c r="O7" i="7"/>
  <c r="P7" i="7"/>
  <c r="Q7" i="7"/>
  <c r="M8" i="7"/>
  <c r="N8" i="7"/>
  <c r="O8" i="7"/>
  <c r="P8" i="7"/>
  <c r="Q8" i="7"/>
  <c r="M9" i="7"/>
  <c r="N9" i="7"/>
  <c r="N26" i="7" s="1"/>
  <c r="O9" i="7"/>
  <c r="P9" i="7"/>
  <c r="Q9" i="7"/>
  <c r="M10" i="7"/>
  <c r="N10" i="7"/>
  <c r="O10" i="7"/>
  <c r="P10" i="7"/>
  <c r="Q10" i="7"/>
  <c r="M11" i="7"/>
  <c r="N11" i="7"/>
  <c r="O11" i="7"/>
  <c r="P11" i="7"/>
  <c r="Q11" i="7"/>
  <c r="M12" i="7"/>
  <c r="N12" i="7"/>
  <c r="O12" i="7"/>
  <c r="P12" i="7"/>
  <c r="Q12" i="7"/>
  <c r="M13" i="7"/>
  <c r="N13" i="7"/>
  <c r="O13" i="7"/>
  <c r="O27" i="7" s="1"/>
  <c r="P13" i="7"/>
  <c r="P27" i="7" s="1"/>
  <c r="Q13" i="7"/>
  <c r="M14" i="7"/>
  <c r="N14" i="7"/>
  <c r="O14" i="7"/>
  <c r="P14" i="7"/>
  <c r="Q14" i="7"/>
  <c r="M15" i="7"/>
  <c r="N15" i="7"/>
  <c r="O15" i="7"/>
  <c r="P15" i="7"/>
  <c r="Q15" i="7"/>
  <c r="M16" i="7"/>
  <c r="N16" i="7"/>
  <c r="O16" i="7"/>
  <c r="P16" i="7"/>
  <c r="Q16" i="7"/>
  <c r="M17" i="7"/>
  <c r="N17" i="7"/>
  <c r="O17" i="7"/>
  <c r="P17" i="7"/>
  <c r="Q17" i="7"/>
  <c r="M18" i="7"/>
  <c r="N18" i="7"/>
  <c r="O18" i="7"/>
  <c r="P18" i="7"/>
  <c r="Q18" i="7"/>
  <c r="M19" i="7"/>
  <c r="N19" i="7"/>
  <c r="O19" i="7"/>
  <c r="P19" i="7"/>
  <c r="Q19" i="7"/>
  <c r="M20" i="7"/>
  <c r="N20" i="7"/>
  <c r="O20" i="7"/>
  <c r="P20" i="7"/>
  <c r="Q20" i="7"/>
  <c r="M21" i="7"/>
  <c r="N21" i="7"/>
  <c r="O21" i="7"/>
  <c r="P21" i="7"/>
  <c r="Q21" i="7"/>
  <c r="M22" i="7"/>
  <c r="N22" i="7"/>
  <c r="O22" i="7"/>
  <c r="P22" i="7"/>
  <c r="Q22" i="7"/>
  <c r="M27" i="7" l="1"/>
  <c r="N27" i="7"/>
  <c r="O26" i="7"/>
  <c r="Q27" i="7"/>
  <c r="V4" i="6"/>
  <c r="W4" i="6"/>
  <c r="V5" i="6"/>
  <c r="W5" i="6"/>
  <c r="M3" i="5"/>
  <c r="N3" i="5"/>
  <c r="O3" i="5"/>
  <c r="P3" i="5"/>
  <c r="Q3" i="5"/>
  <c r="M4" i="5"/>
  <c r="N4" i="5"/>
  <c r="O4" i="5"/>
  <c r="P4" i="5"/>
  <c r="Q4" i="5"/>
  <c r="M5" i="5"/>
  <c r="N5" i="5"/>
  <c r="O5" i="5"/>
  <c r="P5" i="5"/>
  <c r="Q5" i="5"/>
  <c r="M6" i="5"/>
  <c r="N6" i="5"/>
  <c r="O6" i="5"/>
  <c r="P6" i="5"/>
  <c r="Q6" i="5"/>
  <c r="M7" i="5"/>
  <c r="N7" i="5"/>
  <c r="O7" i="5"/>
  <c r="P7" i="5"/>
  <c r="Q7" i="5"/>
  <c r="M8" i="5"/>
  <c r="N8" i="5"/>
  <c r="O8" i="5"/>
  <c r="P8" i="5"/>
  <c r="Q8" i="5"/>
  <c r="M9" i="5"/>
  <c r="N9" i="5"/>
  <c r="O9" i="5"/>
  <c r="P9" i="5"/>
  <c r="Q9" i="5"/>
  <c r="M10" i="5"/>
  <c r="N10" i="5"/>
  <c r="O10" i="5"/>
  <c r="P10" i="5"/>
  <c r="Q10" i="5"/>
  <c r="M11" i="5"/>
  <c r="N11" i="5"/>
  <c r="O11" i="5"/>
  <c r="P11" i="5"/>
  <c r="Q11" i="5"/>
  <c r="M12" i="5"/>
  <c r="N12" i="5"/>
  <c r="O12" i="5"/>
  <c r="P12" i="5"/>
  <c r="P26" i="5" s="1"/>
  <c r="Q12" i="5"/>
  <c r="M13" i="5"/>
  <c r="N13" i="5"/>
  <c r="O13" i="5"/>
  <c r="P13" i="5"/>
  <c r="Q13" i="5"/>
  <c r="M14" i="5"/>
  <c r="N14" i="5"/>
  <c r="O14" i="5"/>
  <c r="P14" i="5"/>
  <c r="Q14" i="5"/>
  <c r="M15" i="5"/>
  <c r="N15" i="5"/>
  <c r="O15" i="5"/>
  <c r="P15" i="5"/>
  <c r="Q15" i="5"/>
  <c r="M16" i="5"/>
  <c r="N16" i="5"/>
  <c r="O16" i="5"/>
  <c r="P16" i="5"/>
  <c r="Q16" i="5"/>
  <c r="M17" i="5"/>
  <c r="N17" i="5"/>
  <c r="N27" i="5" s="1"/>
  <c r="O17" i="5"/>
  <c r="P17" i="5"/>
  <c r="Q17" i="5"/>
  <c r="M18" i="5"/>
  <c r="N18" i="5"/>
  <c r="O18" i="5"/>
  <c r="P18" i="5"/>
  <c r="Q18" i="5"/>
  <c r="M19" i="5"/>
  <c r="N19" i="5"/>
  <c r="O19" i="5"/>
  <c r="P19" i="5"/>
  <c r="Q19" i="5"/>
  <c r="M20" i="5"/>
  <c r="N20" i="5"/>
  <c r="O20" i="5"/>
  <c r="P20" i="5"/>
  <c r="Q20" i="5"/>
  <c r="M21" i="5"/>
  <c r="N21" i="5"/>
  <c r="O21" i="5"/>
  <c r="P21" i="5"/>
  <c r="Q21" i="5"/>
  <c r="M22" i="5"/>
  <c r="N22" i="5"/>
  <c r="O22" i="5"/>
  <c r="P22" i="5"/>
  <c r="Q22" i="5"/>
  <c r="O26" i="5" l="1"/>
  <c r="M27" i="5"/>
  <c r="M26" i="5"/>
  <c r="Q27" i="5"/>
  <c r="Q26" i="5"/>
  <c r="N26" i="5"/>
  <c r="P27" i="5"/>
  <c r="O27" i="5"/>
  <c r="O74" i="4"/>
  <c r="L74" i="4"/>
  <c r="I74" i="4"/>
  <c r="O73" i="4"/>
  <c r="L73" i="4"/>
  <c r="I73" i="4"/>
  <c r="O72" i="4"/>
  <c r="L72" i="4"/>
  <c r="I72" i="4"/>
  <c r="O71" i="4"/>
  <c r="L71" i="4"/>
  <c r="I71" i="4"/>
  <c r="O70" i="4"/>
  <c r="L70" i="4"/>
  <c r="I70" i="4"/>
  <c r="O69" i="4"/>
  <c r="P69" i="4" s="1"/>
  <c r="L69" i="4"/>
  <c r="I69" i="4"/>
  <c r="O68" i="4"/>
  <c r="L68" i="4"/>
  <c r="I68" i="4"/>
  <c r="O67" i="4"/>
  <c r="L67" i="4"/>
  <c r="I67" i="4"/>
  <c r="O66" i="4"/>
  <c r="L66" i="4"/>
  <c r="I66" i="4"/>
  <c r="O65" i="4"/>
  <c r="L65" i="4"/>
  <c r="I65" i="4"/>
  <c r="O64" i="4"/>
  <c r="L64" i="4"/>
  <c r="I64" i="4"/>
  <c r="O63" i="4"/>
  <c r="L63" i="4"/>
  <c r="I63" i="4"/>
  <c r="O61" i="4"/>
  <c r="L61" i="4"/>
  <c r="I61" i="4"/>
  <c r="O60" i="4"/>
  <c r="L60" i="4"/>
  <c r="I60" i="4"/>
  <c r="O59" i="4"/>
  <c r="L59" i="4"/>
  <c r="I59" i="4"/>
  <c r="O58" i="4"/>
  <c r="L58" i="4"/>
  <c r="I58" i="4"/>
  <c r="O57" i="4"/>
  <c r="L57" i="4"/>
  <c r="I57" i="4"/>
  <c r="O56" i="4"/>
  <c r="L56" i="4"/>
  <c r="M56" i="4" s="1"/>
  <c r="I56" i="4"/>
  <c r="O55" i="4"/>
  <c r="L55" i="4"/>
  <c r="I55" i="4"/>
  <c r="O54" i="4"/>
  <c r="L54" i="4"/>
  <c r="I54" i="4"/>
  <c r="O53" i="4"/>
  <c r="L53" i="4"/>
  <c r="I53" i="4"/>
  <c r="O52" i="4"/>
  <c r="L52" i="4"/>
  <c r="I52" i="4"/>
  <c r="O51" i="4"/>
  <c r="L51" i="4"/>
  <c r="I51" i="4"/>
  <c r="J50" i="4" s="1"/>
  <c r="O50" i="4"/>
  <c r="L50" i="4"/>
  <c r="M50" i="4" s="1"/>
  <c r="I50" i="4"/>
  <c r="O48" i="4"/>
  <c r="L48" i="4"/>
  <c r="I48" i="4"/>
  <c r="O47" i="4"/>
  <c r="L47" i="4"/>
  <c r="I47" i="4"/>
  <c r="O46" i="4"/>
  <c r="L46" i="4"/>
  <c r="I46" i="4"/>
  <c r="O45" i="4"/>
  <c r="L45" i="4"/>
  <c r="I45" i="4"/>
  <c r="O44" i="4"/>
  <c r="L44" i="4"/>
  <c r="M44" i="4" s="1"/>
  <c r="I44" i="4"/>
  <c r="O43" i="4"/>
  <c r="L43" i="4"/>
  <c r="I43" i="4"/>
  <c r="O42" i="4"/>
  <c r="L42" i="4"/>
  <c r="I42" i="4"/>
  <c r="O41" i="4"/>
  <c r="L41" i="4"/>
  <c r="I41" i="4"/>
  <c r="O40" i="4"/>
  <c r="L40" i="4"/>
  <c r="I40" i="4"/>
  <c r="O39" i="4"/>
  <c r="L39" i="4"/>
  <c r="I39" i="4"/>
  <c r="O37" i="4"/>
  <c r="L37" i="4"/>
  <c r="I37" i="4"/>
  <c r="O36" i="4"/>
  <c r="L36" i="4"/>
  <c r="I36" i="4"/>
  <c r="O35" i="4"/>
  <c r="L35" i="4"/>
  <c r="I35" i="4"/>
  <c r="O34" i="4"/>
  <c r="L34" i="4"/>
  <c r="I34" i="4"/>
  <c r="O33" i="4"/>
  <c r="P33" i="4" s="1"/>
  <c r="L33" i="4"/>
  <c r="M33" i="4" s="1"/>
  <c r="J33" i="4"/>
  <c r="I33" i="4"/>
  <c r="O32" i="4"/>
  <c r="L32" i="4"/>
  <c r="I32" i="4"/>
  <c r="O31" i="4"/>
  <c r="L31" i="4"/>
  <c r="I31" i="4"/>
  <c r="O30" i="4"/>
  <c r="L30" i="4"/>
  <c r="I30" i="4"/>
  <c r="O29" i="4"/>
  <c r="L29" i="4"/>
  <c r="I29" i="4"/>
  <c r="O28" i="4"/>
  <c r="L28" i="4"/>
  <c r="M28" i="4" s="1"/>
  <c r="I28" i="4"/>
  <c r="I2" i="4"/>
  <c r="L2" i="4"/>
  <c r="M2" i="4" s="1"/>
  <c r="I3" i="4"/>
  <c r="L3" i="4"/>
  <c r="I4" i="4"/>
  <c r="L4" i="4"/>
  <c r="I5" i="4"/>
  <c r="L5" i="4"/>
  <c r="I6" i="4"/>
  <c r="L6" i="4"/>
  <c r="I7" i="4"/>
  <c r="L7" i="4"/>
  <c r="I8" i="4"/>
  <c r="J8" i="4" s="1"/>
  <c r="L8" i="4"/>
  <c r="I9" i="4"/>
  <c r="L9" i="4"/>
  <c r="I10" i="4"/>
  <c r="L10" i="4"/>
  <c r="I11" i="4"/>
  <c r="L11" i="4"/>
  <c r="I12" i="4"/>
  <c r="L12" i="4"/>
  <c r="I13" i="4"/>
  <c r="L13" i="4"/>
  <c r="I15" i="4"/>
  <c r="L15" i="4"/>
  <c r="I16" i="4"/>
  <c r="L16" i="4"/>
  <c r="I17" i="4"/>
  <c r="L17" i="4"/>
  <c r="I18" i="4"/>
  <c r="L18" i="4"/>
  <c r="I19" i="4"/>
  <c r="L19" i="4"/>
  <c r="I20" i="4"/>
  <c r="L20" i="4"/>
  <c r="I21" i="4"/>
  <c r="L21" i="4"/>
  <c r="M21" i="4" s="1"/>
  <c r="I22" i="4"/>
  <c r="L22" i="4"/>
  <c r="I23" i="4"/>
  <c r="L23" i="4"/>
  <c r="I24" i="4"/>
  <c r="L24" i="4"/>
  <c r="I25" i="4"/>
  <c r="L25" i="4"/>
  <c r="I26" i="4"/>
  <c r="L26" i="4"/>
  <c r="O26" i="4"/>
  <c r="O25" i="4"/>
  <c r="O24" i="4"/>
  <c r="O23" i="4"/>
  <c r="P21" i="4" s="1"/>
  <c r="O22" i="4"/>
  <c r="O21" i="4"/>
  <c r="O20" i="4"/>
  <c r="O19" i="4"/>
  <c r="O18" i="4"/>
  <c r="O17" i="4"/>
  <c r="O16" i="4"/>
  <c r="P15" i="4" s="1"/>
  <c r="O15" i="4"/>
  <c r="M15" i="4"/>
  <c r="O2" i="4"/>
  <c r="O3" i="4"/>
  <c r="O4" i="4"/>
  <c r="O5" i="4"/>
  <c r="O6" i="4"/>
  <c r="O7" i="4"/>
  <c r="O8" i="4"/>
  <c r="O9" i="4"/>
  <c r="O10" i="4"/>
  <c r="O11" i="4"/>
  <c r="O12" i="4"/>
  <c r="O13" i="4"/>
  <c r="C2" i="3"/>
  <c r="G2" i="3"/>
  <c r="C8" i="3"/>
  <c r="G8" i="3"/>
  <c r="C15" i="3"/>
  <c r="G15" i="3"/>
  <c r="C20" i="3"/>
  <c r="G20" i="3"/>
  <c r="C26" i="3"/>
  <c r="G26" i="3"/>
  <c r="C32" i="3"/>
  <c r="G32" i="3"/>
  <c r="C39" i="3"/>
  <c r="G39" i="3"/>
  <c r="C45" i="3"/>
  <c r="G45" i="3"/>
  <c r="C53" i="3"/>
  <c r="G53" i="3"/>
  <c r="C58" i="3"/>
  <c r="G58" i="3"/>
  <c r="C65" i="3"/>
  <c r="G65" i="3"/>
  <c r="C71" i="3"/>
  <c r="G71" i="3"/>
  <c r="C2" i="2"/>
  <c r="C8" i="2"/>
  <c r="C15" i="2"/>
  <c r="C20" i="2"/>
  <c r="C26" i="2"/>
  <c r="C32" i="2"/>
  <c r="C39" i="2"/>
  <c r="C45" i="2"/>
  <c r="C52" i="2"/>
  <c r="C57" i="2"/>
  <c r="C63" i="2"/>
  <c r="C69" i="2"/>
  <c r="J21" i="4" l="1"/>
  <c r="J39" i="4"/>
  <c r="J56" i="4"/>
  <c r="J44" i="4"/>
  <c r="P44" i="4"/>
  <c r="J28" i="4"/>
  <c r="J63" i="4"/>
  <c r="P2" i="4"/>
  <c r="J15" i="4"/>
  <c r="P50" i="4"/>
  <c r="M63" i="4"/>
  <c r="P28" i="4"/>
  <c r="P63" i="4"/>
  <c r="J69" i="4"/>
  <c r="M39" i="4"/>
  <c r="P56" i="4"/>
  <c r="M69" i="4"/>
  <c r="J2" i="4"/>
  <c r="P39" i="4"/>
  <c r="M8" i="4"/>
  <c r="P8" i="4"/>
</calcChain>
</file>

<file path=xl/sharedStrings.xml><?xml version="1.0" encoding="utf-8"?>
<sst xmlns="http://schemas.openxmlformats.org/spreadsheetml/2006/main" count="797" uniqueCount="270">
  <si>
    <t>MMSE</t>
    <phoneticPr fontId="2" type="noConversion"/>
  </si>
  <si>
    <t>MoCA</t>
    <phoneticPr fontId="2" type="noConversion"/>
  </si>
  <si>
    <t>PSQI</t>
    <phoneticPr fontId="2" type="noConversion"/>
  </si>
  <si>
    <t>HAMA</t>
    <phoneticPr fontId="2" type="noConversion"/>
  </si>
  <si>
    <t>HAMD</t>
    <phoneticPr fontId="2" type="noConversion"/>
  </si>
  <si>
    <t>ALT(U/L)</t>
    <phoneticPr fontId="2" type="noConversion"/>
  </si>
  <si>
    <t>AST(U/L)</t>
    <phoneticPr fontId="2" type="noConversion"/>
  </si>
  <si>
    <t>GGT(U/L)</t>
    <phoneticPr fontId="2" type="noConversion"/>
  </si>
  <si>
    <t>C5</t>
  </si>
  <si>
    <t>C6</t>
  </si>
  <si>
    <t>C7</t>
  </si>
  <si>
    <t>C8</t>
  </si>
  <si>
    <t>C9</t>
  </si>
  <si>
    <t>C10</t>
  </si>
  <si>
    <t>C11</t>
  </si>
  <si>
    <t>C12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</si>
  <si>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</si>
  <si>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</si>
  <si>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</si>
  <si>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</si>
  <si>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</si>
  <si>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</si>
  <si>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</si>
  <si>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</si>
  <si>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</si>
  <si>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</si>
  <si>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</si>
  <si>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</si>
  <si>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</si>
  <si>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</si>
  <si>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</si>
  <si>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</si>
  <si>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E1</t>
    <phoneticPr fontId="2" type="noConversion"/>
  </si>
  <si>
    <t>E2</t>
  </si>
  <si>
    <t>E3</t>
  </si>
  <si>
    <t>E4</t>
  </si>
  <si>
    <t>E7</t>
  </si>
  <si>
    <t>E8</t>
  </si>
  <si>
    <t>E9</t>
  </si>
  <si>
    <t>E10</t>
  </si>
  <si>
    <t>E11</t>
  </si>
  <si>
    <t>E12</t>
  </si>
  <si>
    <t>E14</t>
  </si>
  <si>
    <t>E16</t>
  </si>
  <si>
    <t>E17</t>
  </si>
  <si>
    <t>E19</t>
  </si>
  <si>
    <t>E20</t>
  </si>
  <si>
    <t>E22</t>
  </si>
  <si>
    <t>E23</t>
  </si>
  <si>
    <t>E25</t>
  </si>
  <si>
    <t>E26</t>
  </si>
  <si>
    <t>E27</t>
  </si>
  <si>
    <t>E28</t>
  </si>
  <si>
    <t>E30</t>
  </si>
  <si>
    <t>E31</t>
  </si>
  <si>
    <t>E33</t>
    <phoneticPr fontId="2" type="noConversion"/>
  </si>
  <si>
    <t>E36</t>
  </si>
  <si>
    <t>E37</t>
  </si>
  <si>
    <t>E38</t>
  </si>
  <si>
    <t>E39</t>
  </si>
  <si>
    <t>E42</t>
  </si>
  <si>
    <t>E44</t>
  </si>
  <si>
    <t>C34</t>
  </si>
  <si>
    <t>C36</t>
  </si>
  <si>
    <t>C39</t>
  </si>
  <si>
    <t>C40</t>
  </si>
  <si>
    <t>C41</t>
  </si>
  <si>
    <t>C43</t>
  </si>
  <si>
    <t>Age</t>
    <phoneticPr fontId="2" type="noConversion"/>
  </si>
  <si>
    <t>Alcohol consumption (gram/day)</t>
    <phoneticPr fontId="2" type="noConversion"/>
  </si>
  <si>
    <t>Group</t>
    <phoneticPr fontId="2" type="noConversion"/>
  </si>
  <si>
    <t>No</t>
    <phoneticPr fontId="2" type="noConversion"/>
  </si>
  <si>
    <t>Health</t>
    <phoneticPr fontId="2" type="noConversion"/>
  </si>
  <si>
    <t>AUD</t>
    <phoneticPr fontId="2" type="noConversion"/>
  </si>
  <si>
    <t>WBC(×10^9/L)</t>
    <phoneticPr fontId="2" type="noConversion"/>
  </si>
  <si>
    <t>PLT(×10^9/L)</t>
    <phoneticPr fontId="2" type="noConversion"/>
  </si>
  <si>
    <t>HGB(g/L)</t>
    <phoneticPr fontId="2" type="noConversion"/>
  </si>
  <si>
    <t>GLU(mmol/L)</t>
    <phoneticPr fontId="2" type="noConversion"/>
  </si>
  <si>
    <t>UA(umol/l)</t>
    <phoneticPr fontId="2" type="noConversion"/>
  </si>
  <si>
    <t>CR(umol/L)</t>
    <phoneticPr fontId="2" type="noConversion"/>
  </si>
  <si>
    <t>TBIL(umol/L)</t>
    <phoneticPr fontId="2" type="noConversion"/>
  </si>
  <si>
    <t>DBIL(umol/L)</t>
    <phoneticPr fontId="2" type="noConversion"/>
  </si>
  <si>
    <t>IBIL(umol/L)</t>
    <phoneticPr fontId="2" type="noConversion"/>
  </si>
  <si>
    <t>ALB(umol/L)</t>
    <phoneticPr fontId="2" type="noConversion"/>
  </si>
  <si>
    <t>FH6</t>
  </si>
  <si>
    <t>FH5</t>
  </si>
  <si>
    <t>FH4</t>
  </si>
  <si>
    <t>FH3</t>
  </si>
  <si>
    <t>FH2</t>
  </si>
  <si>
    <t>FH1</t>
    <phoneticPr fontId="2" type="noConversion"/>
  </si>
  <si>
    <t>MH6</t>
  </si>
  <si>
    <t>MH5</t>
  </si>
  <si>
    <t>MH4</t>
  </si>
  <si>
    <t>MH3</t>
  </si>
  <si>
    <t>MH2</t>
  </si>
  <si>
    <t>MH1</t>
    <phoneticPr fontId="2" type="noConversion"/>
  </si>
  <si>
    <t>AH5</t>
  </si>
  <si>
    <t>AH4</t>
  </si>
  <si>
    <t>AH3</t>
  </si>
  <si>
    <t>AH2</t>
  </si>
  <si>
    <t>AH1</t>
    <phoneticPr fontId="2" type="noConversion"/>
  </si>
  <si>
    <t>HH5</t>
  </si>
  <si>
    <t>HH4</t>
  </si>
  <si>
    <t>HH3</t>
  </si>
  <si>
    <t>HH2</t>
  </si>
  <si>
    <t>HH1</t>
    <phoneticPr fontId="2" type="noConversion"/>
  </si>
  <si>
    <t>EH6</t>
  </si>
  <si>
    <t>EH5</t>
  </si>
  <si>
    <t>EH4</t>
  </si>
  <si>
    <t>EH3</t>
  </si>
  <si>
    <t>EH2</t>
  </si>
  <si>
    <t>EH1</t>
    <phoneticPr fontId="2" type="noConversion"/>
  </si>
  <si>
    <t>CH6</t>
  </si>
  <si>
    <t>CH5</t>
  </si>
  <si>
    <t>CH4</t>
  </si>
  <si>
    <t>CH3</t>
  </si>
  <si>
    <t>CH2</t>
  </si>
  <si>
    <t>CH1</t>
    <phoneticPr fontId="2" type="noConversion"/>
  </si>
  <si>
    <t>FF6</t>
  </si>
  <si>
    <t>FF5</t>
  </si>
  <si>
    <t>FF4</t>
  </si>
  <si>
    <t>FF3</t>
  </si>
  <si>
    <t>FF2</t>
  </si>
  <si>
    <t>FF1</t>
    <phoneticPr fontId="2" type="noConversion"/>
  </si>
  <si>
    <t>MF6</t>
  </si>
  <si>
    <t>MF5</t>
  </si>
  <si>
    <t>MF4</t>
  </si>
  <si>
    <t>MF3</t>
  </si>
  <si>
    <t>MF2</t>
  </si>
  <si>
    <t>MF1</t>
    <phoneticPr fontId="2" type="noConversion"/>
  </si>
  <si>
    <t>AF5</t>
  </si>
  <si>
    <t>AF4</t>
  </si>
  <si>
    <t>AF3</t>
  </si>
  <si>
    <t>AF2</t>
  </si>
  <si>
    <t>AF1</t>
    <phoneticPr fontId="2" type="noConversion"/>
  </si>
  <si>
    <t>HF5</t>
  </si>
  <si>
    <t>HF4</t>
  </si>
  <si>
    <t>HF3</t>
  </si>
  <si>
    <t>HF2</t>
  </si>
  <si>
    <t>HF1</t>
    <phoneticPr fontId="2" type="noConversion"/>
  </si>
  <si>
    <t>EF6</t>
  </si>
  <si>
    <t>EF5</t>
  </si>
  <si>
    <t>EF4</t>
  </si>
  <si>
    <t>EF3</t>
  </si>
  <si>
    <t>EF2</t>
  </si>
  <si>
    <t>EF1</t>
    <phoneticPr fontId="2" type="noConversion"/>
  </si>
  <si>
    <t>CF6</t>
  </si>
  <si>
    <t>CF5</t>
  </si>
  <si>
    <t>CF4</t>
  </si>
  <si>
    <t>CF3</t>
  </si>
  <si>
    <t>CF2</t>
  </si>
  <si>
    <t>CF1</t>
    <phoneticPr fontId="2" type="noConversion"/>
  </si>
  <si>
    <t>P value</t>
    <phoneticPr fontId="2" type="noConversion"/>
  </si>
  <si>
    <t>mean</t>
    <phoneticPr fontId="2" type="noConversion"/>
  </si>
  <si>
    <t>mean gray value</t>
  </si>
  <si>
    <t>occludin</t>
    <phoneticPr fontId="2" type="noConversion"/>
  </si>
  <si>
    <t>ZO-1</t>
    <phoneticPr fontId="2" type="noConversion"/>
  </si>
  <si>
    <t>E6</t>
    <phoneticPr fontId="3" type="noConversion"/>
  </si>
  <si>
    <t>E5</t>
    <phoneticPr fontId="3" type="noConversion"/>
  </si>
  <si>
    <t>E4</t>
    <phoneticPr fontId="3" type="noConversion"/>
  </si>
  <si>
    <t>E3</t>
    <phoneticPr fontId="3" type="noConversion"/>
  </si>
  <si>
    <t>E2</t>
    <phoneticPr fontId="3" type="noConversion"/>
  </si>
  <si>
    <t>E1</t>
    <phoneticPr fontId="3" type="noConversion"/>
  </si>
  <si>
    <t>C6</t>
    <phoneticPr fontId="3" type="noConversion"/>
  </si>
  <si>
    <t>C5</t>
    <phoneticPr fontId="3" type="noConversion"/>
  </si>
  <si>
    <t>C4</t>
    <phoneticPr fontId="3" type="noConversion"/>
  </si>
  <si>
    <t>C3</t>
    <phoneticPr fontId="3" type="noConversion"/>
  </si>
  <si>
    <t>C2</t>
    <phoneticPr fontId="3" type="noConversion"/>
  </si>
  <si>
    <t>C1</t>
    <phoneticPr fontId="3" type="noConversion"/>
  </si>
  <si>
    <t>P value</t>
    <phoneticPr fontId="3" type="noConversion"/>
  </si>
  <si>
    <t>mean</t>
    <phoneticPr fontId="3" type="noConversion"/>
  </si>
  <si>
    <t>Claudin-5/GAPDH</t>
    <phoneticPr fontId="3" type="noConversion"/>
  </si>
  <si>
    <t>Occludin/GAPDH</t>
    <phoneticPr fontId="3" type="noConversion"/>
  </si>
  <si>
    <t>ZO-1/GAPDH</t>
    <phoneticPr fontId="3" type="noConversion"/>
  </si>
  <si>
    <t>GAPDH</t>
    <phoneticPr fontId="3" type="noConversion"/>
  </si>
  <si>
    <t>Claudin-5</t>
    <phoneticPr fontId="3" type="noConversion"/>
  </si>
  <si>
    <t>Occludin</t>
    <phoneticPr fontId="3" type="noConversion"/>
  </si>
  <si>
    <t>ZO-1</t>
    <phoneticPr fontId="3" type="noConversion"/>
  </si>
  <si>
    <t>F</t>
    <phoneticPr fontId="2" type="noConversion"/>
  </si>
  <si>
    <t>H</t>
    <phoneticPr fontId="2" type="noConversion"/>
  </si>
  <si>
    <t>H1</t>
    <phoneticPr fontId="3" type="noConversion"/>
  </si>
  <si>
    <t>H2</t>
    <phoneticPr fontId="3" type="noConversion"/>
  </si>
  <si>
    <t>H3</t>
    <phoneticPr fontId="3" type="noConversion"/>
  </si>
  <si>
    <t>H4</t>
    <phoneticPr fontId="3" type="noConversion"/>
  </si>
  <si>
    <t>H5</t>
    <phoneticPr fontId="3" type="noConversion"/>
  </si>
  <si>
    <t>A1</t>
    <phoneticPr fontId="3" type="noConversion"/>
  </si>
  <si>
    <t>A2</t>
    <phoneticPr fontId="3" type="noConversion"/>
  </si>
  <si>
    <t>A3</t>
    <phoneticPr fontId="3" type="noConversion"/>
  </si>
  <si>
    <t>A4</t>
    <phoneticPr fontId="3" type="noConversion"/>
  </si>
  <si>
    <t>A5</t>
    <phoneticPr fontId="3" type="noConversion"/>
  </si>
  <si>
    <t>M1</t>
    <phoneticPr fontId="3" type="noConversion"/>
  </si>
  <si>
    <t>M2</t>
  </si>
  <si>
    <t>M3</t>
  </si>
  <si>
    <t>M4</t>
  </si>
  <si>
    <t>M5</t>
  </si>
  <si>
    <t>M6</t>
  </si>
  <si>
    <t>F1</t>
    <phoneticPr fontId="3" type="noConversion"/>
  </si>
  <si>
    <t>F2</t>
    <phoneticPr fontId="3" type="noConversion"/>
  </si>
  <si>
    <t>F3</t>
  </si>
  <si>
    <t>F4</t>
  </si>
  <si>
    <t>F5</t>
  </si>
  <si>
    <t>F6</t>
  </si>
  <si>
    <t>E10</t>
    <phoneticPr fontId="2" type="noConversion"/>
  </si>
  <si>
    <t>E9</t>
    <phoneticPr fontId="2" type="noConversion"/>
  </si>
  <si>
    <t>E8</t>
    <phoneticPr fontId="2" type="noConversion"/>
  </si>
  <si>
    <t>E7</t>
    <phoneticPr fontId="2" type="noConversion"/>
  </si>
  <si>
    <t>E6</t>
    <phoneticPr fontId="2" type="noConversion"/>
  </si>
  <si>
    <t>E5</t>
    <phoneticPr fontId="2" type="noConversion"/>
  </si>
  <si>
    <t>E4</t>
    <phoneticPr fontId="2" type="noConversion"/>
  </si>
  <si>
    <t>E3</t>
    <phoneticPr fontId="2" type="noConversion"/>
  </si>
  <si>
    <t>E2</t>
    <phoneticPr fontId="2" type="noConversion"/>
  </si>
  <si>
    <t>C10</t>
    <phoneticPr fontId="2" type="noConversion"/>
  </si>
  <si>
    <t>C9</t>
    <phoneticPr fontId="2" type="noConversion"/>
  </si>
  <si>
    <t>C8</t>
    <phoneticPr fontId="2" type="noConversion"/>
  </si>
  <si>
    <t>EtOH</t>
    <phoneticPr fontId="2" type="noConversion"/>
  </si>
  <si>
    <t>Control</t>
    <phoneticPr fontId="2" type="noConversion"/>
  </si>
  <si>
    <t>C7</t>
    <phoneticPr fontId="2" type="noConversion"/>
  </si>
  <si>
    <t>D5</t>
    <phoneticPr fontId="2" type="noConversion"/>
  </si>
  <si>
    <t>D4</t>
    <phoneticPr fontId="2" type="noConversion"/>
  </si>
  <si>
    <t>D3</t>
    <phoneticPr fontId="2" type="noConversion"/>
  </si>
  <si>
    <t>D2</t>
    <phoneticPr fontId="2" type="noConversion"/>
  </si>
  <si>
    <t>D1</t>
    <phoneticPr fontId="2" type="noConversion"/>
  </si>
  <si>
    <t>MEAN</t>
    <phoneticPr fontId="2" type="noConversion"/>
  </si>
  <si>
    <t>C6</t>
    <phoneticPr fontId="2" type="noConversion"/>
  </si>
  <si>
    <t>E6</t>
  </si>
  <si>
    <t>C5</t>
    <phoneticPr fontId="2" type="noConversion"/>
  </si>
  <si>
    <t>E5</t>
  </si>
  <si>
    <t>C4</t>
    <phoneticPr fontId="2" type="noConversion"/>
  </si>
  <si>
    <t>C3</t>
    <phoneticPr fontId="2" type="noConversion"/>
  </si>
  <si>
    <t>C4</t>
  </si>
  <si>
    <t>C2</t>
    <phoneticPr fontId="2" type="noConversion"/>
  </si>
  <si>
    <t>C3</t>
  </si>
  <si>
    <t>C1</t>
    <phoneticPr fontId="2" type="noConversion"/>
  </si>
  <si>
    <t>Mean</t>
    <phoneticPr fontId="2" type="noConversion"/>
  </si>
  <si>
    <t>Number of platform crossings</t>
    <phoneticPr fontId="2" type="noConversion"/>
  </si>
  <si>
    <t>Escape latency (sec)</t>
    <phoneticPr fontId="2" type="noConversion"/>
  </si>
  <si>
    <t>F10</t>
  </si>
  <si>
    <t>F9</t>
  </si>
  <si>
    <t>F8</t>
  </si>
  <si>
    <t>F7</t>
  </si>
  <si>
    <t>F2</t>
    <phoneticPr fontId="2" type="noConversion"/>
  </si>
  <si>
    <t>F1</t>
    <phoneticPr fontId="2" type="noConversion"/>
  </si>
  <si>
    <t>M10</t>
  </si>
  <si>
    <t>M9</t>
  </si>
  <si>
    <t>M8</t>
  </si>
  <si>
    <t>EtOH+Faecali</t>
    <phoneticPr fontId="2" type="noConversion"/>
  </si>
  <si>
    <t>EtOH+NS</t>
    <phoneticPr fontId="2" type="noConversion"/>
  </si>
  <si>
    <t>M7</t>
  </si>
  <si>
    <t>M1</t>
    <phoneticPr fontId="2" type="noConversion"/>
  </si>
  <si>
    <t>EtOH+Faecali</t>
  </si>
  <si>
    <t>EtOH+NS</t>
  </si>
  <si>
    <t>F2</t>
  </si>
  <si>
    <t>0.000089</t>
  </si>
  <si>
    <t>Ratio</t>
    <phoneticPr fontId="2" type="noConversion"/>
  </si>
  <si>
    <t>new</t>
    <phoneticPr fontId="2" type="noConversion"/>
  </si>
  <si>
    <t>old</t>
    <phoneticPr fontId="2" type="noConversion"/>
  </si>
  <si>
    <t>0.001</t>
  </si>
  <si>
    <t>M2</t>
    <phoneticPr fontId="2" type="noConversion"/>
  </si>
  <si>
    <t xml:space="preserve">Animal ID </t>
  </si>
  <si>
    <t xml:space="preserve">Group </t>
  </si>
  <si>
    <t xml:space="preserve">Old </t>
  </si>
  <si>
    <t xml:space="preserve">New </t>
  </si>
  <si>
    <t>Ratio</t>
  </si>
  <si>
    <t>Control</t>
  </si>
  <si>
    <t>EtOH</t>
  </si>
  <si>
    <t>Group</t>
  </si>
  <si>
    <t xml:space="preserve">ID </t>
  </si>
  <si>
    <t>Region</t>
  </si>
  <si>
    <t>Hippocampus</t>
  </si>
  <si>
    <t>PFC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</si>
</sst>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1"/>
    <xf numFmtId="0" fontId="1" fillId="0" borderId="0" xfId="1" applyAlignment="1">
      <alignment vertical="center"/>
    </xf>
    <xf numFmtId="0" fontId="0" fillId="0" borderId="0" xfId="0" applyAlignment="1"/>
    <xf numFmtId="0" fontId="0" fillId="2" borderId="0" xfId="0" applyFill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</cellXfs>
  <cellStyles count="2">
    <cellStyle name="Normal" xfId="0" builtinId="0"/>
    <cellStyle name="常规 2" xfId="1" xr:uid="{FBAA8CFD-EF3A-4301-83B0-F385B8FAC1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9F46-621A-4C48-BC65-91DDB938986C}">
  <dimension ref="A1:W61"/>
  <sheetViews>
    <sheetView topLeftCell="E1" workbookViewId="0">
      <selection activeCell="M10" sqref="M10"/>
    </sheetView>
  </sheetViews>
  <sheetFormatPr baseColWidth="10" defaultColWidth="8.83203125" defaultRowHeight="15" x14ac:dyDescent="0.2"/>
  <cols>
    <col min="2" max="2" width="5.5" customWidth="1"/>
    <col min="3" max="3" width="8.6640625" customWidth="1"/>
    <col min="9" max="9" width="13.1640625" customWidth="1"/>
    <col min="10" max="10" width="16.6640625" customWidth="1"/>
    <col min="11" max="11" width="16.1640625" customWidth="1"/>
    <col min="12" max="12" width="14.6640625" customWidth="1"/>
    <col min="20" max="20" width="17.1640625" customWidth="1"/>
    <col min="21" max="21" width="17.5" customWidth="1"/>
    <col min="22" max="22" width="14.6640625" customWidth="1"/>
  </cols>
  <sheetData>
    <row r="1" spans="1:23" x14ac:dyDescent="0.2">
      <c r="A1" s="1" t="s">
        <v>70</v>
      </c>
      <c r="B1" s="1" t="s">
        <v>71</v>
      </c>
      <c r="C1" s="1" t="s">
        <v>68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69</v>
      </c>
      <c r="J1" s="1" t="s">
        <v>74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5</v>
      </c>
      <c r="R1" s="1" t="s">
        <v>6</v>
      </c>
      <c r="S1" s="1" t="s">
        <v>7</v>
      </c>
      <c r="T1" s="1" t="s">
        <v>80</v>
      </c>
      <c r="U1" s="1" t="s">
        <v>81</v>
      </c>
      <c r="V1" s="1" t="s">
        <v>82</v>
      </c>
      <c r="W1" s="1" t="s">
        <v>83</v>
      </c>
    </row>
    <row r="2" spans="1:23" x14ac:dyDescent="0.2">
      <c r="A2" s="8" t="s">
        <v>72</v>
      </c>
      <c r="B2" s="1" t="s">
        <v>8</v>
      </c>
      <c r="C2" s="1">
        <v>38</v>
      </c>
      <c r="D2" s="2">
        <v>30</v>
      </c>
      <c r="E2" s="2">
        <v>29</v>
      </c>
      <c r="F2" s="2">
        <v>3</v>
      </c>
      <c r="G2" s="2">
        <v>4</v>
      </c>
      <c r="H2" s="2">
        <v>2</v>
      </c>
      <c r="I2" s="1"/>
      <c r="J2" s="2">
        <v>7.77</v>
      </c>
      <c r="K2" s="2">
        <v>4.8</v>
      </c>
      <c r="L2" s="2">
        <v>224</v>
      </c>
      <c r="M2" s="2">
        <v>146</v>
      </c>
      <c r="N2" s="2">
        <v>5.96</v>
      </c>
      <c r="O2" s="2">
        <v>294.5</v>
      </c>
      <c r="P2" s="2">
        <v>78</v>
      </c>
      <c r="Q2" s="2">
        <v>21</v>
      </c>
      <c r="R2" s="2">
        <v>18</v>
      </c>
      <c r="S2" s="2">
        <v>27</v>
      </c>
      <c r="T2" s="2">
        <v>15.56</v>
      </c>
      <c r="U2" s="2">
        <v>4.33</v>
      </c>
      <c r="V2" s="2">
        <v>11.23</v>
      </c>
      <c r="W2" s="2">
        <v>47.1</v>
      </c>
    </row>
    <row r="3" spans="1:23" x14ac:dyDescent="0.2">
      <c r="A3" s="8"/>
      <c r="B3" s="1" t="s">
        <v>9</v>
      </c>
      <c r="C3" s="1">
        <v>46</v>
      </c>
      <c r="D3" s="2">
        <v>29</v>
      </c>
      <c r="E3" s="2">
        <v>29</v>
      </c>
      <c r="F3" s="2">
        <v>1</v>
      </c>
      <c r="G3" s="2">
        <v>4</v>
      </c>
      <c r="H3" s="2">
        <v>3</v>
      </c>
      <c r="I3" s="1"/>
      <c r="J3" s="2">
        <v>13.97</v>
      </c>
      <c r="K3" s="2">
        <v>4.92</v>
      </c>
      <c r="L3" s="2">
        <v>373</v>
      </c>
      <c r="M3" s="2">
        <v>158</v>
      </c>
      <c r="N3" s="2">
        <v>15.55</v>
      </c>
      <c r="O3" s="2">
        <v>367.1</v>
      </c>
      <c r="P3" s="2">
        <v>66</v>
      </c>
      <c r="Q3" s="2">
        <v>20</v>
      </c>
      <c r="R3" s="2">
        <v>13</v>
      </c>
      <c r="S3" s="2">
        <v>31</v>
      </c>
      <c r="T3" s="2">
        <v>12.03</v>
      </c>
      <c r="U3" s="2">
        <v>3.14</v>
      </c>
      <c r="V3" s="2">
        <v>8.89</v>
      </c>
      <c r="W3" s="2">
        <v>46</v>
      </c>
    </row>
    <row r="4" spans="1:23" x14ac:dyDescent="0.2">
      <c r="A4" s="8"/>
      <c r="B4" s="1" t="s">
        <v>10</v>
      </c>
      <c r="C4" s="1">
        <v>41</v>
      </c>
      <c r="D4" s="2">
        <v>28</v>
      </c>
      <c r="E4" s="2">
        <v>27</v>
      </c>
      <c r="F4" s="2">
        <v>4</v>
      </c>
      <c r="G4" s="2">
        <v>7</v>
      </c>
      <c r="H4" s="2">
        <v>4</v>
      </c>
      <c r="I4" s="1"/>
      <c r="J4" s="2">
        <v>6.51</v>
      </c>
      <c r="K4" s="2">
        <v>5.79</v>
      </c>
      <c r="L4" s="2">
        <v>224</v>
      </c>
      <c r="M4" s="2">
        <v>117</v>
      </c>
      <c r="N4" s="2">
        <v>5.34</v>
      </c>
      <c r="O4" s="2">
        <v>506.9</v>
      </c>
      <c r="P4" s="2">
        <v>64</v>
      </c>
      <c r="Q4" s="2">
        <v>16</v>
      </c>
      <c r="R4" s="2">
        <v>19</v>
      </c>
      <c r="S4" s="2">
        <v>26</v>
      </c>
      <c r="T4" s="2">
        <v>14.26</v>
      </c>
      <c r="U4" s="2">
        <v>3.55</v>
      </c>
      <c r="V4" s="2">
        <v>10.71</v>
      </c>
      <c r="W4" s="2">
        <v>46.4</v>
      </c>
    </row>
    <row r="5" spans="1:23" x14ac:dyDescent="0.2">
      <c r="A5" s="8"/>
      <c r="B5" s="1" t="s">
        <v>11</v>
      </c>
      <c r="C5" s="1">
        <v>42</v>
      </c>
      <c r="D5" s="2">
        <v>29</v>
      </c>
      <c r="E5" s="2">
        <v>29</v>
      </c>
      <c r="F5" s="2">
        <v>1</v>
      </c>
      <c r="G5" s="2">
        <v>0</v>
      </c>
      <c r="H5" s="2">
        <v>2</v>
      </c>
      <c r="I5" s="1"/>
      <c r="J5" s="2">
        <v>5.84</v>
      </c>
      <c r="K5" s="2">
        <v>5.37</v>
      </c>
      <c r="L5" s="2">
        <v>191</v>
      </c>
      <c r="M5" s="2">
        <v>174</v>
      </c>
      <c r="N5" s="2">
        <v>5.32</v>
      </c>
      <c r="O5" s="2">
        <v>488</v>
      </c>
      <c r="P5" s="2">
        <v>88</v>
      </c>
      <c r="Q5" s="2">
        <v>34</v>
      </c>
      <c r="R5" s="2">
        <v>22</v>
      </c>
      <c r="S5" s="2">
        <v>28</v>
      </c>
      <c r="T5" s="2">
        <v>24.04</v>
      </c>
      <c r="U5" s="2">
        <v>7.04</v>
      </c>
      <c r="V5" s="2">
        <v>17</v>
      </c>
      <c r="W5" s="2">
        <v>44.7</v>
      </c>
    </row>
    <row r="6" spans="1:23" x14ac:dyDescent="0.2">
      <c r="A6" s="8"/>
      <c r="B6" s="1" t="s">
        <v>12</v>
      </c>
      <c r="C6" s="1">
        <v>42</v>
      </c>
      <c r="D6" s="2">
        <v>29</v>
      </c>
      <c r="E6" s="2">
        <v>29</v>
      </c>
      <c r="F6" s="2">
        <v>1</v>
      </c>
      <c r="G6" s="2">
        <v>2</v>
      </c>
      <c r="H6" s="2">
        <v>0</v>
      </c>
      <c r="I6" s="1"/>
      <c r="J6" s="2">
        <v>8.41</v>
      </c>
      <c r="K6" s="2">
        <v>4.82</v>
      </c>
      <c r="L6" s="2">
        <v>210</v>
      </c>
      <c r="M6" s="2">
        <v>142</v>
      </c>
      <c r="N6" s="2">
        <v>4.79</v>
      </c>
      <c r="O6" s="2">
        <v>527.4</v>
      </c>
      <c r="P6" s="2">
        <v>71</v>
      </c>
      <c r="Q6" s="2">
        <v>134</v>
      </c>
      <c r="R6" s="2">
        <v>37</v>
      </c>
      <c r="S6" s="2">
        <v>31</v>
      </c>
      <c r="T6" s="2">
        <v>16</v>
      </c>
      <c r="U6" s="2">
        <v>4.05</v>
      </c>
      <c r="V6" s="2">
        <v>11.95</v>
      </c>
      <c r="W6" s="2">
        <v>44.7</v>
      </c>
    </row>
    <row r="7" spans="1:23" x14ac:dyDescent="0.2">
      <c r="A7" s="8"/>
      <c r="B7" s="1" t="s">
        <v>13</v>
      </c>
      <c r="C7" s="1">
        <v>37</v>
      </c>
      <c r="D7" s="2">
        <v>27</v>
      </c>
      <c r="E7" s="2">
        <v>26</v>
      </c>
      <c r="F7" s="2">
        <v>5</v>
      </c>
      <c r="G7" s="2">
        <v>8</v>
      </c>
      <c r="H7" s="2">
        <v>7</v>
      </c>
      <c r="I7" s="1"/>
      <c r="J7" s="2">
        <v>7.46</v>
      </c>
      <c r="K7" s="2">
        <v>4.93</v>
      </c>
      <c r="L7" s="2">
        <v>223</v>
      </c>
      <c r="M7" s="2">
        <v>150</v>
      </c>
      <c r="N7" s="2">
        <v>5.16</v>
      </c>
      <c r="O7" s="2">
        <v>342.7</v>
      </c>
      <c r="P7" s="2">
        <v>74</v>
      </c>
      <c r="Q7" s="2">
        <v>23</v>
      </c>
      <c r="R7" s="2">
        <v>19</v>
      </c>
      <c r="S7" s="2">
        <v>26</v>
      </c>
      <c r="T7" s="2">
        <v>23.62</v>
      </c>
      <c r="U7" s="2">
        <v>5.55</v>
      </c>
      <c r="V7" s="2">
        <v>18.07</v>
      </c>
      <c r="W7" s="2">
        <v>44.1</v>
      </c>
    </row>
    <row r="8" spans="1:23" x14ac:dyDescent="0.2">
      <c r="A8" s="8"/>
      <c r="B8" s="1" t="s">
        <v>14</v>
      </c>
      <c r="C8" s="1">
        <v>36</v>
      </c>
      <c r="D8" s="2">
        <v>30</v>
      </c>
      <c r="E8" s="2">
        <v>28</v>
      </c>
      <c r="F8" s="2">
        <v>1</v>
      </c>
      <c r="G8" s="2">
        <v>5</v>
      </c>
      <c r="H8" s="2">
        <v>0</v>
      </c>
      <c r="I8" s="1"/>
      <c r="J8" s="2">
        <v>6.43</v>
      </c>
      <c r="K8" s="2">
        <v>4.97</v>
      </c>
      <c r="L8" s="2">
        <v>282</v>
      </c>
      <c r="M8" s="2">
        <v>144</v>
      </c>
      <c r="N8" s="2">
        <v>5.61</v>
      </c>
      <c r="O8" s="2">
        <v>347.6</v>
      </c>
      <c r="P8" s="2">
        <v>69</v>
      </c>
      <c r="Q8" s="2">
        <v>23</v>
      </c>
      <c r="R8" s="2">
        <v>20</v>
      </c>
      <c r="S8" s="2">
        <v>25</v>
      </c>
      <c r="T8" s="2">
        <v>12.2</v>
      </c>
      <c r="U8" s="2">
        <v>2.81</v>
      </c>
      <c r="V8" s="2">
        <v>9.39</v>
      </c>
      <c r="W8" s="2">
        <v>41.7</v>
      </c>
    </row>
    <row r="9" spans="1:23" x14ac:dyDescent="0.2">
      <c r="A9" s="8"/>
      <c r="B9" s="1" t="s">
        <v>15</v>
      </c>
      <c r="C9" s="1">
        <v>40</v>
      </c>
      <c r="D9" s="2">
        <v>26</v>
      </c>
      <c r="E9" s="2">
        <v>26</v>
      </c>
      <c r="F9" s="2">
        <v>5</v>
      </c>
      <c r="G9" s="2">
        <v>4</v>
      </c>
      <c r="H9" s="2">
        <v>1</v>
      </c>
      <c r="I9" s="1"/>
      <c r="J9" s="2">
        <v>6.25</v>
      </c>
      <c r="K9" s="2">
        <v>4.71</v>
      </c>
      <c r="L9" s="2">
        <v>216</v>
      </c>
      <c r="M9" s="2">
        <v>149</v>
      </c>
      <c r="N9" s="2">
        <v>6.68</v>
      </c>
      <c r="O9" s="2">
        <v>427.9</v>
      </c>
      <c r="P9" s="2">
        <v>69</v>
      </c>
      <c r="Q9" s="2">
        <v>28</v>
      </c>
      <c r="R9" s="2">
        <v>19</v>
      </c>
      <c r="S9" s="2">
        <v>35</v>
      </c>
      <c r="T9" s="2">
        <v>24.74</v>
      </c>
      <c r="U9" s="2">
        <v>5.69</v>
      </c>
      <c r="V9" s="2">
        <v>19.05</v>
      </c>
      <c r="W9" s="2">
        <v>42</v>
      </c>
    </row>
    <row r="10" spans="1:23" x14ac:dyDescent="0.2">
      <c r="A10" s="8"/>
      <c r="B10" s="1" t="s">
        <v>16</v>
      </c>
      <c r="C10" s="1">
        <v>50</v>
      </c>
      <c r="D10" s="2">
        <v>28</v>
      </c>
      <c r="E10" s="2">
        <v>22</v>
      </c>
      <c r="F10" s="2">
        <v>10</v>
      </c>
      <c r="G10" s="2">
        <v>6</v>
      </c>
      <c r="H10" s="2">
        <v>5</v>
      </c>
      <c r="I10" s="1"/>
      <c r="J10" s="2">
        <v>8</v>
      </c>
      <c r="K10" s="2">
        <v>4.1900000000000004</v>
      </c>
      <c r="L10" s="2">
        <v>184</v>
      </c>
      <c r="M10" s="2">
        <v>135</v>
      </c>
      <c r="N10" s="2">
        <v>5.05</v>
      </c>
      <c r="O10" s="2">
        <v>302.39999999999998</v>
      </c>
      <c r="P10" s="2">
        <v>57</v>
      </c>
      <c r="Q10" s="2">
        <v>17</v>
      </c>
      <c r="R10" s="2">
        <v>18</v>
      </c>
      <c r="S10" s="2">
        <v>22</v>
      </c>
      <c r="T10" s="2">
        <v>20.41</v>
      </c>
      <c r="U10" s="2">
        <v>6.04</v>
      </c>
      <c r="V10" s="2">
        <v>14.37</v>
      </c>
      <c r="W10" s="2">
        <v>40.1</v>
      </c>
    </row>
    <row r="11" spans="1:23" x14ac:dyDescent="0.2">
      <c r="A11" s="8"/>
      <c r="B11" s="1" t="s">
        <v>17</v>
      </c>
      <c r="C11" s="1">
        <v>52</v>
      </c>
      <c r="D11" s="2">
        <v>28</v>
      </c>
      <c r="E11" s="2">
        <v>27</v>
      </c>
      <c r="F11" s="2">
        <v>1</v>
      </c>
      <c r="G11" s="2">
        <v>1</v>
      </c>
      <c r="H11" s="2">
        <v>0</v>
      </c>
      <c r="I11" s="1"/>
      <c r="J11" s="2">
        <v>6.82</v>
      </c>
      <c r="K11" s="2">
        <v>5.43</v>
      </c>
      <c r="L11" s="2">
        <v>205</v>
      </c>
      <c r="M11" s="2">
        <v>144</v>
      </c>
      <c r="N11" s="2">
        <v>4.6900000000000004</v>
      </c>
      <c r="O11" s="2">
        <v>345.7</v>
      </c>
      <c r="P11" s="2">
        <v>75</v>
      </c>
      <c r="Q11" s="2">
        <v>22</v>
      </c>
      <c r="R11" s="2">
        <v>23</v>
      </c>
      <c r="S11" s="2">
        <v>31</v>
      </c>
      <c r="T11" s="2">
        <v>19.12</v>
      </c>
      <c r="U11" s="2">
        <v>4.83</v>
      </c>
      <c r="V11" s="2">
        <v>14.29</v>
      </c>
      <c r="W11" s="2">
        <v>42.8</v>
      </c>
    </row>
    <row r="12" spans="1:23" x14ac:dyDescent="0.2">
      <c r="A12" s="8"/>
      <c r="B12" s="1" t="s">
        <v>18</v>
      </c>
      <c r="C12" s="1">
        <v>35</v>
      </c>
      <c r="D12" s="2">
        <v>30</v>
      </c>
      <c r="E12" s="2">
        <v>29</v>
      </c>
      <c r="F12" s="2">
        <v>1</v>
      </c>
      <c r="G12" s="2">
        <v>1</v>
      </c>
      <c r="H12" s="2">
        <v>0</v>
      </c>
      <c r="I12" s="1"/>
      <c r="J12" s="2">
        <v>5.85</v>
      </c>
      <c r="K12" s="2">
        <v>4.84</v>
      </c>
      <c r="L12" s="2">
        <v>313</v>
      </c>
      <c r="M12" s="2">
        <v>150</v>
      </c>
      <c r="N12" s="2">
        <v>5.31</v>
      </c>
      <c r="O12" s="2">
        <v>802</v>
      </c>
      <c r="P12" s="2">
        <v>111</v>
      </c>
      <c r="Q12" s="2">
        <v>62</v>
      </c>
      <c r="R12" s="2">
        <v>37</v>
      </c>
      <c r="S12" s="2">
        <v>50</v>
      </c>
      <c r="T12" s="2">
        <v>7.11</v>
      </c>
      <c r="U12" s="2">
        <v>2.02</v>
      </c>
      <c r="V12" s="2">
        <v>5.09</v>
      </c>
      <c r="W12" s="2">
        <v>43.4</v>
      </c>
    </row>
    <row r="13" spans="1:23" x14ac:dyDescent="0.2">
      <c r="A13" s="8"/>
      <c r="B13" s="1" t="s">
        <v>19</v>
      </c>
      <c r="C13" s="1">
        <v>48</v>
      </c>
      <c r="D13" s="2">
        <v>30</v>
      </c>
      <c r="E13" s="2">
        <v>30</v>
      </c>
      <c r="F13" s="2">
        <v>8</v>
      </c>
      <c r="G13" s="2">
        <v>4</v>
      </c>
      <c r="H13" s="2">
        <v>3</v>
      </c>
      <c r="I13" s="1"/>
      <c r="J13" s="2">
        <v>5.45</v>
      </c>
      <c r="K13" s="2">
        <v>5.23</v>
      </c>
      <c r="L13" s="2">
        <v>219</v>
      </c>
      <c r="M13" s="2">
        <v>162</v>
      </c>
      <c r="N13" s="2">
        <v>5.16</v>
      </c>
      <c r="O13" s="2">
        <v>332</v>
      </c>
      <c r="P13" s="2">
        <v>79</v>
      </c>
      <c r="Q13" s="2">
        <v>15</v>
      </c>
      <c r="R13" s="2">
        <v>18</v>
      </c>
      <c r="S13" s="2">
        <v>25</v>
      </c>
      <c r="T13" s="2">
        <v>20.84</v>
      </c>
      <c r="U13" s="2">
        <v>4.47</v>
      </c>
      <c r="V13" s="2">
        <v>16.37</v>
      </c>
      <c r="W13" s="2">
        <v>44.6</v>
      </c>
    </row>
    <row r="14" spans="1:23" x14ac:dyDescent="0.2">
      <c r="A14" s="8"/>
      <c r="B14" s="1" t="s">
        <v>20</v>
      </c>
      <c r="C14" s="1">
        <v>41</v>
      </c>
      <c r="D14" s="2">
        <v>29</v>
      </c>
      <c r="E14" s="2">
        <v>29</v>
      </c>
      <c r="F14" s="2">
        <v>0</v>
      </c>
      <c r="G14" s="2">
        <v>0</v>
      </c>
      <c r="H14" s="2">
        <v>0</v>
      </c>
      <c r="I14" s="1"/>
      <c r="J14" s="2">
        <v>12.22</v>
      </c>
      <c r="K14" s="2">
        <v>5.27</v>
      </c>
      <c r="L14" s="2">
        <v>254</v>
      </c>
      <c r="M14" s="2">
        <v>153</v>
      </c>
      <c r="N14" s="2">
        <v>9.26</v>
      </c>
      <c r="O14" s="2">
        <v>345</v>
      </c>
      <c r="P14" s="2">
        <v>55</v>
      </c>
      <c r="Q14" s="2">
        <v>37</v>
      </c>
      <c r="R14" s="2">
        <v>16</v>
      </c>
      <c r="S14" s="2">
        <v>43</v>
      </c>
      <c r="T14" s="2">
        <v>13.76</v>
      </c>
      <c r="U14" s="2">
        <v>3.54</v>
      </c>
      <c r="V14" s="2">
        <v>10.220000000000001</v>
      </c>
      <c r="W14" s="2">
        <v>47</v>
      </c>
    </row>
    <row r="15" spans="1:23" x14ac:dyDescent="0.2">
      <c r="A15" s="8"/>
      <c r="B15" s="1" t="s">
        <v>21</v>
      </c>
      <c r="C15" s="1">
        <v>51</v>
      </c>
      <c r="D15" s="2">
        <v>27</v>
      </c>
      <c r="E15" s="2">
        <v>27</v>
      </c>
      <c r="F15" s="2">
        <v>5</v>
      </c>
      <c r="G15" s="2">
        <v>6</v>
      </c>
      <c r="H15" s="2">
        <v>3</v>
      </c>
      <c r="I15" s="1"/>
      <c r="J15" s="2">
        <v>7.3</v>
      </c>
      <c r="K15" s="2">
        <v>4.87</v>
      </c>
      <c r="L15" s="2">
        <v>215</v>
      </c>
      <c r="M15" s="2">
        <v>157</v>
      </c>
      <c r="N15" s="2">
        <v>6.29</v>
      </c>
      <c r="O15" s="2">
        <v>309.5</v>
      </c>
      <c r="P15" s="2">
        <v>82</v>
      </c>
      <c r="Q15" s="2">
        <v>47</v>
      </c>
      <c r="R15" s="2">
        <v>29</v>
      </c>
      <c r="S15" s="2">
        <v>36</v>
      </c>
      <c r="T15" s="2">
        <v>23.48</v>
      </c>
      <c r="U15" s="2">
        <v>6.85</v>
      </c>
      <c r="V15" s="2">
        <v>16.63</v>
      </c>
      <c r="W15" s="2">
        <v>46.6</v>
      </c>
    </row>
    <row r="16" spans="1:23" x14ac:dyDescent="0.2">
      <c r="A16" s="8"/>
      <c r="B16" s="1" t="s">
        <v>22</v>
      </c>
      <c r="C16" s="1">
        <v>51</v>
      </c>
      <c r="D16" s="2">
        <v>29</v>
      </c>
      <c r="E16" s="2">
        <v>28</v>
      </c>
      <c r="F16" s="2">
        <v>4</v>
      </c>
      <c r="G16" s="2">
        <v>2</v>
      </c>
      <c r="H16" s="2">
        <v>0</v>
      </c>
      <c r="I16" s="1"/>
      <c r="J16" s="2">
        <v>8.76</v>
      </c>
      <c r="K16" s="2">
        <v>5.53</v>
      </c>
      <c r="L16" s="2">
        <v>466</v>
      </c>
      <c r="M16" s="2">
        <v>158</v>
      </c>
      <c r="N16" s="2">
        <v>5.44</v>
      </c>
      <c r="O16" s="2">
        <v>518</v>
      </c>
      <c r="P16" s="2">
        <v>82</v>
      </c>
      <c r="Q16" s="2">
        <v>21</v>
      </c>
      <c r="R16" s="2">
        <v>17</v>
      </c>
      <c r="S16" s="2">
        <v>40</v>
      </c>
      <c r="T16" s="2">
        <v>11.83</v>
      </c>
      <c r="U16" s="2">
        <v>3.07</v>
      </c>
      <c r="V16" s="2">
        <v>8.76</v>
      </c>
      <c r="W16" s="2">
        <v>39.4</v>
      </c>
    </row>
    <row r="17" spans="1:23" x14ac:dyDescent="0.2">
      <c r="A17" s="8"/>
      <c r="B17" s="1" t="s">
        <v>23</v>
      </c>
      <c r="C17" s="1">
        <v>51</v>
      </c>
      <c r="D17" s="2">
        <v>30</v>
      </c>
      <c r="E17" s="2">
        <v>27</v>
      </c>
      <c r="F17" s="2">
        <v>1</v>
      </c>
      <c r="G17" s="2">
        <v>0</v>
      </c>
      <c r="H17" s="2">
        <v>1</v>
      </c>
      <c r="I17" s="1"/>
      <c r="J17" s="2">
        <v>6.51</v>
      </c>
      <c r="K17" s="2">
        <v>5.35</v>
      </c>
      <c r="L17" s="2">
        <v>234</v>
      </c>
      <c r="M17" s="2">
        <v>163</v>
      </c>
      <c r="N17" s="2">
        <v>8.3800000000000008</v>
      </c>
      <c r="O17" s="2">
        <v>339.8</v>
      </c>
      <c r="P17" s="2">
        <v>121</v>
      </c>
      <c r="Q17" s="2">
        <v>26</v>
      </c>
      <c r="R17" s="2">
        <v>24</v>
      </c>
      <c r="S17" s="2">
        <v>37</v>
      </c>
      <c r="T17" s="2">
        <v>15.98</v>
      </c>
      <c r="U17" s="2">
        <v>3.31</v>
      </c>
      <c r="V17" s="2">
        <v>12.67</v>
      </c>
      <c r="W17" s="2">
        <v>48</v>
      </c>
    </row>
    <row r="18" spans="1:23" x14ac:dyDescent="0.2">
      <c r="A18" s="8"/>
      <c r="B18" s="1" t="s">
        <v>24</v>
      </c>
      <c r="C18" s="1">
        <v>51</v>
      </c>
      <c r="D18" s="2">
        <v>30</v>
      </c>
      <c r="E18" s="2">
        <v>26</v>
      </c>
      <c r="F18" s="2">
        <v>0</v>
      </c>
      <c r="G18" s="2">
        <v>0</v>
      </c>
      <c r="H18" s="2">
        <v>1</v>
      </c>
      <c r="I18" s="1"/>
      <c r="J18" s="2">
        <v>8.16</v>
      </c>
      <c r="K18" s="2">
        <v>4.72</v>
      </c>
      <c r="L18" s="2">
        <v>361</v>
      </c>
      <c r="M18" s="2">
        <v>146</v>
      </c>
      <c r="N18" s="2">
        <v>5.46</v>
      </c>
      <c r="O18" s="2">
        <v>294.2</v>
      </c>
      <c r="P18" s="2">
        <v>73</v>
      </c>
      <c r="Q18" s="2">
        <v>35</v>
      </c>
      <c r="R18" s="2">
        <v>21</v>
      </c>
      <c r="S18" s="2">
        <v>54</v>
      </c>
      <c r="T18" s="2">
        <v>9.58</v>
      </c>
      <c r="U18" s="2">
        <v>2.2200000000000002</v>
      </c>
      <c r="V18" s="2">
        <v>6.81</v>
      </c>
      <c r="W18" s="2">
        <v>41.6</v>
      </c>
    </row>
    <row r="19" spans="1:23" x14ac:dyDescent="0.2">
      <c r="A19" s="8"/>
      <c r="B19" s="1" t="s">
        <v>25</v>
      </c>
      <c r="C19" s="1">
        <v>47</v>
      </c>
      <c r="D19" s="2">
        <v>29</v>
      </c>
      <c r="E19" s="2">
        <v>27</v>
      </c>
      <c r="F19" s="2">
        <v>5</v>
      </c>
      <c r="G19" s="2">
        <v>3</v>
      </c>
      <c r="H19" s="2">
        <v>2</v>
      </c>
      <c r="I19" s="1"/>
      <c r="J19" s="2">
        <v>5.57</v>
      </c>
      <c r="K19" s="2">
        <v>4.8499999999999996</v>
      </c>
      <c r="L19" s="2">
        <v>294</v>
      </c>
      <c r="M19" s="2">
        <v>156</v>
      </c>
      <c r="N19" s="2">
        <v>5.12</v>
      </c>
      <c r="O19" s="2">
        <v>283.7</v>
      </c>
      <c r="P19" s="2">
        <v>80</v>
      </c>
      <c r="Q19" s="2">
        <v>42</v>
      </c>
      <c r="R19" s="2">
        <v>25</v>
      </c>
      <c r="S19" s="2">
        <v>46</v>
      </c>
      <c r="T19" s="2">
        <v>18.47</v>
      </c>
      <c r="U19" s="2">
        <v>3.76</v>
      </c>
      <c r="V19" s="2">
        <v>14.71</v>
      </c>
      <c r="W19" s="2">
        <v>43.5</v>
      </c>
    </row>
    <row r="20" spans="1:23" x14ac:dyDescent="0.2">
      <c r="A20" s="8"/>
      <c r="B20" s="1" t="s">
        <v>26</v>
      </c>
      <c r="C20" s="1">
        <v>50</v>
      </c>
      <c r="D20" s="2">
        <v>30</v>
      </c>
      <c r="E20" s="2">
        <v>29</v>
      </c>
      <c r="F20" s="2">
        <v>5</v>
      </c>
      <c r="G20" s="2">
        <v>9</v>
      </c>
      <c r="H20" s="2">
        <v>5</v>
      </c>
      <c r="I20" s="1"/>
      <c r="J20" s="2">
        <v>8.6</v>
      </c>
      <c r="K20" s="2">
        <v>4.59</v>
      </c>
      <c r="L20" s="2">
        <v>287</v>
      </c>
      <c r="M20" s="2">
        <v>152</v>
      </c>
      <c r="N20" s="2">
        <v>5.42</v>
      </c>
      <c r="O20" s="2">
        <v>324.10000000000002</v>
      </c>
      <c r="P20" s="2">
        <v>69</v>
      </c>
      <c r="Q20" s="2">
        <v>45</v>
      </c>
      <c r="R20" s="2">
        <v>19</v>
      </c>
      <c r="S20" s="2">
        <v>21</v>
      </c>
      <c r="T20" s="2">
        <v>13.17</v>
      </c>
      <c r="U20" s="2">
        <v>4.38</v>
      </c>
      <c r="V20" s="2">
        <v>8.7899999999999991</v>
      </c>
      <c r="W20" s="2">
        <v>42.1</v>
      </c>
    </row>
    <row r="21" spans="1:23" x14ac:dyDescent="0.2">
      <c r="A21" s="8"/>
      <c r="B21" s="1" t="s">
        <v>27</v>
      </c>
      <c r="C21" s="1">
        <v>51</v>
      </c>
      <c r="D21" s="2">
        <v>30</v>
      </c>
      <c r="E21" s="2">
        <v>28</v>
      </c>
      <c r="F21" s="2">
        <v>2</v>
      </c>
      <c r="G21" s="2">
        <v>2</v>
      </c>
      <c r="H21" s="2">
        <v>2</v>
      </c>
      <c r="I21" s="1"/>
      <c r="J21" s="2">
        <v>4.2699999999999996</v>
      </c>
      <c r="K21" s="2">
        <v>6.07</v>
      </c>
      <c r="L21" s="2">
        <v>234</v>
      </c>
      <c r="M21" s="2">
        <v>136</v>
      </c>
      <c r="N21" s="2">
        <v>5.1100000000000003</v>
      </c>
      <c r="O21" s="2">
        <v>348.5</v>
      </c>
      <c r="P21" s="2">
        <v>64</v>
      </c>
      <c r="Q21" s="2">
        <v>27</v>
      </c>
      <c r="R21" s="2">
        <v>20</v>
      </c>
      <c r="S21" s="2">
        <v>20</v>
      </c>
      <c r="T21" s="2">
        <v>14.3</v>
      </c>
      <c r="U21" s="2">
        <v>3.79</v>
      </c>
      <c r="V21" s="2">
        <v>10.51</v>
      </c>
      <c r="W21" s="2">
        <v>43.1</v>
      </c>
    </row>
    <row r="22" spans="1:23" x14ac:dyDescent="0.2">
      <c r="A22" s="8"/>
      <c r="B22" s="1" t="s">
        <v>28</v>
      </c>
      <c r="C22" s="1">
        <v>47</v>
      </c>
      <c r="D22" s="2">
        <v>30</v>
      </c>
      <c r="E22" s="2">
        <v>28</v>
      </c>
      <c r="F22" s="2">
        <v>3</v>
      </c>
      <c r="G22" s="2">
        <v>3</v>
      </c>
      <c r="H22" s="2">
        <v>0</v>
      </c>
      <c r="I22" s="1"/>
      <c r="J22" s="2">
        <v>6.83</v>
      </c>
      <c r="K22" s="2">
        <v>5.25</v>
      </c>
      <c r="L22" s="2">
        <v>181</v>
      </c>
      <c r="M22" s="2">
        <v>165</v>
      </c>
      <c r="N22" s="2">
        <v>4.72</v>
      </c>
      <c r="O22" s="2">
        <v>445.5</v>
      </c>
      <c r="P22" s="2">
        <v>72</v>
      </c>
      <c r="Q22" s="2">
        <v>31</v>
      </c>
      <c r="R22" s="2">
        <v>24</v>
      </c>
      <c r="S22" s="2">
        <v>33</v>
      </c>
      <c r="T22" s="2">
        <v>15.98</v>
      </c>
      <c r="U22" s="2">
        <v>3.66</v>
      </c>
      <c r="V22" s="2">
        <v>12.32</v>
      </c>
      <c r="W22" s="2">
        <v>46.7</v>
      </c>
    </row>
    <row r="23" spans="1:23" x14ac:dyDescent="0.2">
      <c r="A23" s="8"/>
      <c r="B23" s="1" t="s">
        <v>29</v>
      </c>
      <c r="C23" s="1">
        <v>46</v>
      </c>
      <c r="D23" s="2">
        <v>30</v>
      </c>
      <c r="E23" s="2">
        <v>29</v>
      </c>
      <c r="F23" s="2">
        <v>3</v>
      </c>
      <c r="G23" s="2">
        <v>4</v>
      </c>
      <c r="H23" s="2">
        <v>1</v>
      </c>
      <c r="I23" s="1"/>
      <c r="J23" s="2">
        <v>6.27</v>
      </c>
      <c r="K23" s="2">
        <v>4.4000000000000004</v>
      </c>
      <c r="L23" s="2">
        <v>360</v>
      </c>
      <c r="M23" s="2">
        <v>141</v>
      </c>
      <c r="N23" s="2">
        <v>5.5</v>
      </c>
      <c r="O23" s="2">
        <v>312.5</v>
      </c>
      <c r="P23" s="2">
        <v>73</v>
      </c>
      <c r="Q23" s="2">
        <v>34</v>
      </c>
      <c r="R23" s="2">
        <v>28</v>
      </c>
      <c r="S23" s="2">
        <v>51</v>
      </c>
      <c r="T23" s="2">
        <v>14.09</v>
      </c>
      <c r="U23" s="2">
        <v>3.98</v>
      </c>
      <c r="V23" s="2">
        <v>10.11</v>
      </c>
      <c r="W23" s="2">
        <v>44.4</v>
      </c>
    </row>
    <row r="24" spans="1:23" x14ac:dyDescent="0.2">
      <c r="A24" s="8"/>
      <c r="B24" s="1" t="s">
        <v>30</v>
      </c>
      <c r="C24" s="1">
        <v>47</v>
      </c>
      <c r="D24" s="2">
        <v>29</v>
      </c>
      <c r="E24" s="2">
        <v>28</v>
      </c>
      <c r="F24" s="2">
        <v>6</v>
      </c>
      <c r="G24" s="2">
        <v>3</v>
      </c>
      <c r="H24" s="2">
        <v>1</v>
      </c>
      <c r="I24" s="1"/>
      <c r="J24" s="2">
        <v>10.8</v>
      </c>
      <c r="K24" s="2">
        <v>5.2</v>
      </c>
      <c r="L24" s="2">
        <v>364</v>
      </c>
      <c r="M24" s="2">
        <v>156</v>
      </c>
      <c r="N24" s="2">
        <v>5.82</v>
      </c>
      <c r="O24" s="2">
        <v>617.5</v>
      </c>
      <c r="P24" s="2">
        <v>86</v>
      </c>
      <c r="Q24" s="2">
        <v>49</v>
      </c>
      <c r="R24" s="2">
        <v>27</v>
      </c>
      <c r="S24" s="2">
        <v>59</v>
      </c>
      <c r="T24" s="2">
        <v>12.04</v>
      </c>
      <c r="U24" s="2">
        <v>2.61</v>
      </c>
      <c r="V24" s="2">
        <v>9.43</v>
      </c>
      <c r="W24" s="2">
        <v>44.9</v>
      </c>
    </row>
    <row r="25" spans="1:23" x14ac:dyDescent="0.2">
      <c r="A25" s="8"/>
      <c r="B25" s="1" t="s">
        <v>31</v>
      </c>
      <c r="C25" s="1">
        <v>49</v>
      </c>
      <c r="D25" s="2">
        <v>22</v>
      </c>
      <c r="E25" s="2">
        <v>22</v>
      </c>
      <c r="F25" s="2">
        <v>0</v>
      </c>
      <c r="G25" s="2">
        <v>0</v>
      </c>
      <c r="H25" s="2">
        <v>0</v>
      </c>
      <c r="I25" s="1"/>
      <c r="J25" s="2">
        <v>7.08</v>
      </c>
      <c r="K25" s="2">
        <v>4.87</v>
      </c>
      <c r="L25" s="2">
        <v>230</v>
      </c>
      <c r="M25" s="2">
        <v>153</v>
      </c>
      <c r="N25" s="2">
        <v>5.39</v>
      </c>
      <c r="O25" s="2">
        <v>517.9</v>
      </c>
      <c r="P25" s="2">
        <v>60</v>
      </c>
      <c r="Q25" s="2">
        <v>23</v>
      </c>
      <c r="R25" s="2">
        <v>22</v>
      </c>
      <c r="S25" s="2">
        <v>33</v>
      </c>
      <c r="T25" s="2">
        <v>10.9</v>
      </c>
      <c r="U25" s="2">
        <v>2.33</v>
      </c>
      <c r="V25" s="2">
        <v>8.57</v>
      </c>
      <c r="W25" s="2">
        <v>37.700000000000003</v>
      </c>
    </row>
    <row r="26" spans="1:23" x14ac:dyDescent="0.2">
      <c r="A26" s="8"/>
      <c r="B26" s="1" t="s">
        <v>62</v>
      </c>
      <c r="C26" s="1">
        <v>50</v>
      </c>
      <c r="D26" s="2">
        <v>28</v>
      </c>
      <c r="E26" s="2">
        <v>27</v>
      </c>
      <c r="F26" s="2">
        <v>1</v>
      </c>
      <c r="G26" s="2">
        <v>0</v>
      </c>
      <c r="H26" s="2">
        <v>0</v>
      </c>
      <c r="I26" s="1"/>
      <c r="J26" s="2">
        <v>6.63</v>
      </c>
      <c r="K26" s="2">
        <v>4.88</v>
      </c>
      <c r="L26" s="2">
        <v>188</v>
      </c>
      <c r="M26" s="2">
        <v>157</v>
      </c>
      <c r="N26" s="2">
        <v>5.15</v>
      </c>
      <c r="O26" s="2">
        <v>295.8</v>
      </c>
      <c r="P26" s="2">
        <v>70</v>
      </c>
      <c r="Q26" s="2">
        <v>28</v>
      </c>
      <c r="R26" s="2">
        <v>30</v>
      </c>
      <c r="S26" s="2">
        <v>29</v>
      </c>
      <c r="T26" s="2">
        <v>16.170000000000002</v>
      </c>
      <c r="U26" s="2">
        <v>3.77</v>
      </c>
      <c r="V26" s="2">
        <v>12.4</v>
      </c>
      <c r="W26" s="2">
        <v>41.8</v>
      </c>
    </row>
    <row r="27" spans="1:23" x14ac:dyDescent="0.2">
      <c r="A27" s="8"/>
      <c r="B27" s="1" t="s">
        <v>63</v>
      </c>
      <c r="C27" s="1">
        <v>48</v>
      </c>
      <c r="D27" s="2">
        <v>29</v>
      </c>
      <c r="E27" s="2">
        <v>26</v>
      </c>
      <c r="F27" s="2">
        <v>4</v>
      </c>
      <c r="G27" s="2">
        <v>8</v>
      </c>
      <c r="H27" s="2">
        <v>3</v>
      </c>
      <c r="I27" s="1"/>
      <c r="J27" s="2">
        <v>11.15</v>
      </c>
      <c r="K27" s="2">
        <v>4.75</v>
      </c>
      <c r="L27" s="2">
        <v>372</v>
      </c>
      <c r="M27" s="2">
        <v>150</v>
      </c>
      <c r="N27" s="2">
        <v>7.08</v>
      </c>
      <c r="O27" s="2">
        <v>340.6</v>
      </c>
      <c r="P27" s="2">
        <v>65</v>
      </c>
      <c r="Q27" s="2">
        <v>25</v>
      </c>
      <c r="R27" s="2">
        <v>23</v>
      </c>
      <c r="S27" s="2">
        <v>35</v>
      </c>
      <c r="T27" s="2">
        <v>16.149999999999999</v>
      </c>
      <c r="U27" s="2">
        <v>3.91</v>
      </c>
      <c r="V27" s="2">
        <v>12.24</v>
      </c>
      <c r="W27" s="2">
        <v>44.1</v>
      </c>
    </row>
    <row r="28" spans="1:23" x14ac:dyDescent="0.2">
      <c r="A28" s="8"/>
      <c r="B28" s="1" t="s">
        <v>64</v>
      </c>
      <c r="C28" s="1">
        <v>31</v>
      </c>
      <c r="D28" s="2">
        <v>29</v>
      </c>
      <c r="E28" s="2">
        <v>26</v>
      </c>
      <c r="F28" s="2">
        <v>2</v>
      </c>
      <c r="G28" s="2">
        <v>1</v>
      </c>
      <c r="H28" s="2">
        <v>0</v>
      </c>
      <c r="I28" s="1"/>
      <c r="J28" s="2">
        <v>5.87</v>
      </c>
      <c r="K28" s="2">
        <v>5.25</v>
      </c>
      <c r="L28" s="2">
        <v>352</v>
      </c>
      <c r="M28" s="2">
        <v>157</v>
      </c>
      <c r="N28" s="2">
        <v>5.48</v>
      </c>
      <c r="O28" s="2">
        <v>391.4</v>
      </c>
      <c r="P28" s="2">
        <v>83</v>
      </c>
      <c r="Q28" s="2">
        <v>98</v>
      </c>
      <c r="R28" s="2">
        <v>32</v>
      </c>
      <c r="S28" s="2">
        <v>72</v>
      </c>
      <c r="T28" s="2">
        <v>9.82</v>
      </c>
      <c r="U28" s="2">
        <v>2.52</v>
      </c>
      <c r="V28" s="2">
        <v>7.3</v>
      </c>
      <c r="W28" s="2">
        <v>43.6</v>
      </c>
    </row>
    <row r="29" spans="1:23" x14ac:dyDescent="0.2">
      <c r="A29" s="8"/>
      <c r="B29" s="1" t="s">
        <v>65</v>
      </c>
      <c r="C29" s="1">
        <v>47</v>
      </c>
      <c r="D29" s="2">
        <v>30</v>
      </c>
      <c r="E29" s="2">
        <v>29</v>
      </c>
      <c r="F29" s="2">
        <v>1</v>
      </c>
      <c r="G29" s="2">
        <v>1</v>
      </c>
      <c r="H29" s="2">
        <v>0</v>
      </c>
      <c r="I29" s="1"/>
      <c r="J29" s="2">
        <v>9.44</v>
      </c>
      <c r="K29" s="2">
        <v>5.14</v>
      </c>
      <c r="L29" s="2">
        <v>233</v>
      </c>
      <c r="M29" s="2">
        <v>163</v>
      </c>
      <c r="N29" s="2">
        <v>4.92</v>
      </c>
      <c r="O29" s="2">
        <v>437.8</v>
      </c>
      <c r="P29" s="2">
        <v>62</v>
      </c>
      <c r="Q29" s="2">
        <v>113</v>
      </c>
      <c r="R29" s="2">
        <v>46</v>
      </c>
      <c r="S29" s="2">
        <v>74</v>
      </c>
      <c r="T29" s="2">
        <v>13.29</v>
      </c>
      <c r="U29" s="2">
        <v>3.15</v>
      </c>
      <c r="V29" s="2">
        <v>10.14</v>
      </c>
      <c r="W29" s="2">
        <v>43.3</v>
      </c>
    </row>
    <row r="30" spans="1:23" x14ac:dyDescent="0.2">
      <c r="A30" s="8"/>
      <c r="B30" s="1" t="s">
        <v>66</v>
      </c>
      <c r="C30" s="1">
        <v>37</v>
      </c>
      <c r="D30" s="2">
        <v>30</v>
      </c>
      <c r="E30" s="2">
        <v>28</v>
      </c>
      <c r="F30" s="2">
        <v>1</v>
      </c>
      <c r="G30" s="2">
        <v>1</v>
      </c>
      <c r="H30" s="2">
        <v>0</v>
      </c>
      <c r="I30" s="1"/>
      <c r="J30" s="2">
        <v>6.4</v>
      </c>
      <c r="K30" s="2">
        <v>5.41</v>
      </c>
      <c r="L30" s="2">
        <v>195</v>
      </c>
      <c r="M30" s="2">
        <v>158</v>
      </c>
      <c r="N30" s="2">
        <v>7</v>
      </c>
      <c r="O30" s="2">
        <v>407.4</v>
      </c>
      <c r="P30" s="2">
        <v>73</v>
      </c>
      <c r="Q30" s="2">
        <v>29</v>
      </c>
      <c r="R30" s="2">
        <v>20</v>
      </c>
      <c r="S30" s="2">
        <v>43</v>
      </c>
      <c r="T30" s="2">
        <v>11.58</v>
      </c>
      <c r="U30" s="2">
        <v>2.93</v>
      </c>
      <c r="V30" s="2">
        <v>8.65</v>
      </c>
      <c r="W30" s="2">
        <v>49.9</v>
      </c>
    </row>
    <row r="31" spans="1:23" x14ac:dyDescent="0.2">
      <c r="A31" s="8"/>
      <c r="B31" s="1" t="s">
        <v>67</v>
      </c>
      <c r="C31" s="1">
        <v>35</v>
      </c>
      <c r="D31" s="2">
        <v>29</v>
      </c>
      <c r="E31" s="2">
        <v>28</v>
      </c>
      <c r="F31" s="2">
        <v>8</v>
      </c>
      <c r="G31" s="2">
        <v>5</v>
      </c>
      <c r="H31" s="2">
        <v>4</v>
      </c>
      <c r="I31" s="1"/>
      <c r="J31" s="2">
        <v>5.79</v>
      </c>
      <c r="K31" s="2">
        <v>4.83</v>
      </c>
      <c r="L31" s="2">
        <v>246</v>
      </c>
      <c r="M31" s="2">
        <v>161</v>
      </c>
      <c r="N31" s="2">
        <v>4.82</v>
      </c>
      <c r="O31" s="2">
        <v>516</v>
      </c>
      <c r="P31" s="2">
        <v>70</v>
      </c>
      <c r="Q31" s="2">
        <v>47</v>
      </c>
      <c r="R31" s="2">
        <v>32</v>
      </c>
      <c r="S31" s="2">
        <v>36</v>
      </c>
      <c r="T31" s="2">
        <v>16.98</v>
      </c>
      <c r="U31" s="2">
        <v>5.15</v>
      </c>
      <c r="V31" s="2">
        <v>11.83</v>
      </c>
      <c r="W31" s="2">
        <v>45.5</v>
      </c>
    </row>
    <row r="32" spans="1:23" x14ac:dyDescent="0.2">
      <c r="A32" s="7" t="s">
        <v>73</v>
      </c>
      <c r="B32" s="1" t="s">
        <v>32</v>
      </c>
      <c r="C32" s="1">
        <v>39</v>
      </c>
      <c r="D32" s="2">
        <v>23</v>
      </c>
      <c r="E32" s="2">
        <v>24</v>
      </c>
      <c r="F32" s="2">
        <v>8</v>
      </c>
      <c r="G32" s="2">
        <v>9</v>
      </c>
      <c r="H32" s="2">
        <v>12</v>
      </c>
      <c r="I32">
        <v>140</v>
      </c>
      <c r="J32">
        <v>10.24</v>
      </c>
      <c r="K32">
        <v>4.25</v>
      </c>
      <c r="L32">
        <v>184</v>
      </c>
      <c r="M32">
        <v>141</v>
      </c>
      <c r="N32">
        <v>4.22</v>
      </c>
      <c r="O32">
        <v>407</v>
      </c>
      <c r="P32">
        <v>74</v>
      </c>
      <c r="Q32">
        <v>82.5</v>
      </c>
      <c r="R32">
        <v>109.9</v>
      </c>
      <c r="S32">
        <v>147</v>
      </c>
      <c r="T32">
        <v>26.4</v>
      </c>
      <c r="U32">
        <v>11.5</v>
      </c>
      <c r="V32">
        <v>14.9</v>
      </c>
      <c r="W32">
        <v>39.5</v>
      </c>
    </row>
    <row r="33" spans="1:23" x14ac:dyDescent="0.2">
      <c r="A33" s="7"/>
      <c r="B33" s="1" t="s">
        <v>33</v>
      </c>
      <c r="C33" s="1">
        <v>37</v>
      </c>
      <c r="D33" s="2">
        <v>21</v>
      </c>
      <c r="E33" s="2">
        <v>13</v>
      </c>
      <c r="F33" s="2">
        <v>2</v>
      </c>
      <c r="G33" s="2">
        <v>27</v>
      </c>
      <c r="H33" s="2">
        <v>30</v>
      </c>
      <c r="I33">
        <v>79.92</v>
      </c>
      <c r="J33">
        <v>6.21</v>
      </c>
      <c r="K33">
        <v>4.3899999999999997</v>
      </c>
      <c r="L33">
        <v>112</v>
      </c>
      <c r="M33">
        <v>145</v>
      </c>
      <c r="N33">
        <v>4.71</v>
      </c>
      <c r="O33">
        <v>404</v>
      </c>
      <c r="P33">
        <v>59</v>
      </c>
      <c r="Q33">
        <v>129.9</v>
      </c>
      <c r="R33">
        <v>118.5</v>
      </c>
      <c r="S33">
        <v>181</v>
      </c>
      <c r="T33">
        <v>14.8</v>
      </c>
      <c r="U33">
        <v>6</v>
      </c>
      <c r="V33">
        <v>8.8000000000000007</v>
      </c>
      <c r="W33">
        <v>37.799999999999997</v>
      </c>
    </row>
    <row r="34" spans="1:23" x14ac:dyDescent="0.2">
      <c r="A34" s="7"/>
      <c r="B34" s="1" t="s">
        <v>34</v>
      </c>
      <c r="C34" s="1">
        <v>57</v>
      </c>
      <c r="D34" s="2">
        <v>23</v>
      </c>
      <c r="E34" s="2">
        <v>18</v>
      </c>
      <c r="F34" s="2">
        <v>6</v>
      </c>
      <c r="G34" s="2">
        <v>10</v>
      </c>
      <c r="H34" s="2">
        <v>3</v>
      </c>
      <c r="I34">
        <v>120</v>
      </c>
      <c r="J34">
        <v>5.6</v>
      </c>
      <c r="K34">
        <v>4.3899999999999997</v>
      </c>
      <c r="L34">
        <v>135</v>
      </c>
      <c r="M34">
        <v>153</v>
      </c>
      <c r="N34">
        <v>4.13</v>
      </c>
      <c r="O34">
        <v>327</v>
      </c>
      <c r="P34">
        <v>61</v>
      </c>
      <c r="Q34">
        <v>31.9</v>
      </c>
      <c r="R34">
        <v>79.2</v>
      </c>
      <c r="S34">
        <v>215</v>
      </c>
      <c r="T34">
        <v>23.6</v>
      </c>
      <c r="U34">
        <v>7.2</v>
      </c>
      <c r="V34">
        <v>16.399999999999999</v>
      </c>
      <c r="W34">
        <v>35.9</v>
      </c>
    </row>
    <row r="35" spans="1:23" x14ac:dyDescent="0.2">
      <c r="A35" s="7"/>
      <c r="B35" s="1" t="s">
        <v>35</v>
      </c>
      <c r="C35" s="1">
        <v>35</v>
      </c>
      <c r="D35" s="2">
        <v>26</v>
      </c>
      <c r="E35" s="2">
        <v>20</v>
      </c>
      <c r="F35" s="2">
        <v>4</v>
      </c>
      <c r="G35" s="2">
        <v>7</v>
      </c>
      <c r="H35" s="2">
        <v>11</v>
      </c>
      <c r="I35">
        <v>300</v>
      </c>
      <c r="J35">
        <v>4.46</v>
      </c>
      <c r="K35">
        <v>4.12</v>
      </c>
      <c r="L35">
        <v>173</v>
      </c>
      <c r="M35">
        <v>128</v>
      </c>
      <c r="N35">
        <v>6.68</v>
      </c>
      <c r="O35">
        <v>404</v>
      </c>
      <c r="P35">
        <v>62</v>
      </c>
      <c r="Q35">
        <v>31.9</v>
      </c>
      <c r="R35">
        <v>62.5</v>
      </c>
      <c r="S35">
        <v>22</v>
      </c>
      <c r="T35">
        <v>14</v>
      </c>
      <c r="U35">
        <v>4.8</v>
      </c>
      <c r="V35">
        <v>9.1999999999999993</v>
      </c>
      <c r="W35">
        <v>31.7</v>
      </c>
    </row>
    <row r="36" spans="1:23" x14ac:dyDescent="0.2">
      <c r="A36" s="7"/>
      <c r="B36" s="1" t="s">
        <v>36</v>
      </c>
      <c r="C36" s="1">
        <v>56</v>
      </c>
      <c r="D36" s="2">
        <v>28</v>
      </c>
      <c r="E36" s="2">
        <v>27</v>
      </c>
      <c r="F36" s="2">
        <v>8</v>
      </c>
      <c r="G36" s="2">
        <v>7</v>
      </c>
      <c r="H36" s="2">
        <v>3</v>
      </c>
      <c r="I36">
        <v>200</v>
      </c>
      <c r="J36">
        <v>7.16</v>
      </c>
      <c r="K36">
        <v>4.78</v>
      </c>
      <c r="L36">
        <v>223</v>
      </c>
      <c r="M36">
        <v>158</v>
      </c>
      <c r="N36">
        <v>4.32</v>
      </c>
      <c r="O36">
        <v>355</v>
      </c>
      <c r="P36">
        <v>73</v>
      </c>
      <c r="Q36">
        <v>8.9</v>
      </c>
      <c r="R36">
        <v>23</v>
      </c>
      <c r="S36">
        <v>29</v>
      </c>
      <c r="T36">
        <v>9.1999999999999993</v>
      </c>
      <c r="U36">
        <v>2.8</v>
      </c>
      <c r="V36">
        <v>6.4</v>
      </c>
      <c r="W36">
        <v>48.5</v>
      </c>
    </row>
    <row r="37" spans="1:23" x14ac:dyDescent="0.2">
      <c r="A37" s="7"/>
      <c r="B37" s="1" t="s">
        <v>37</v>
      </c>
      <c r="C37" s="1">
        <v>35</v>
      </c>
      <c r="D37" s="2">
        <v>22</v>
      </c>
      <c r="E37" s="2">
        <v>23</v>
      </c>
      <c r="F37" s="2">
        <v>3</v>
      </c>
      <c r="G37" s="2">
        <v>10</v>
      </c>
      <c r="H37" s="2">
        <v>16</v>
      </c>
      <c r="I37">
        <v>160</v>
      </c>
      <c r="J37">
        <v>5.55</v>
      </c>
      <c r="K37">
        <v>4.59</v>
      </c>
      <c r="L37">
        <v>253</v>
      </c>
      <c r="M37">
        <v>143</v>
      </c>
      <c r="N37">
        <v>5.0999999999999996</v>
      </c>
      <c r="O37">
        <v>213</v>
      </c>
      <c r="P37">
        <v>51</v>
      </c>
      <c r="Q37">
        <v>25.6</v>
      </c>
      <c r="R37">
        <v>28.1</v>
      </c>
      <c r="S37">
        <v>53</v>
      </c>
      <c r="T37">
        <v>11.8</v>
      </c>
      <c r="U37">
        <v>5.3</v>
      </c>
      <c r="V37">
        <v>6.5</v>
      </c>
      <c r="W37">
        <v>41.7</v>
      </c>
    </row>
    <row r="38" spans="1:23" x14ac:dyDescent="0.2">
      <c r="A38" s="7"/>
      <c r="B38" s="1" t="s">
        <v>38</v>
      </c>
      <c r="C38" s="1">
        <v>50</v>
      </c>
      <c r="D38" s="2">
        <v>20</v>
      </c>
      <c r="E38" s="2">
        <v>16</v>
      </c>
      <c r="F38" s="2">
        <v>10</v>
      </c>
      <c r="G38" s="2">
        <v>10</v>
      </c>
      <c r="H38" s="2">
        <v>13</v>
      </c>
      <c r="I38">
        <v>200</v>
      </c>
      <c r="J38">
        <v>7.04</v>
      </c>
      <c r="K38">
        <v>4.0599999999999996</v>
      </c>
      <c r="L38">
        <v>172</v>
      </c>
      <c r="M38">
        <v>154</v>
      </c>
      <c r="N38">
        <v>6.27</v>
      </c>
      <c r="O38">
        <v>425</v>
      </c>
      <c r="P38">
        <v>56</v>
      </c>
      <c r="Q38">
        <v>115.3</v>
      </c>
      <c r="R38">
        <v>220.3</v>
      </c>
      <c r="S38">
        <v>746</v>
      </c>
      <c r="T38">
        <v>23.7</v>
      </c>
      <c r="U38">
        <v>10.4</v>
      </c>
      <c r="V38">
        <v>13.3</v>
      </c>
      <c r="W38">
        <v>44.2</v>
      </c>
    </row>
    <row r="39" spans="1:23" x14ac:dyDescent="0.2">
      <c r="A39" s="7"/>
      <c r="B39" s="1" t="s">
        <v>39</v>
      </c>
      <c r="C39" s="1">
        <v>47</v>
      </c>
      <c r="D39" s="2">
        <v>21</v>
      </c>
      <c r="E39" s="2">
        <v>16</v>
      </c>
      <c r="F39" s="2">
        <v>9</v>
      </c>
      <c r="G39" s="2">
        <v>7</v>
      </c>
      <c r="H39" s="2">
        <v>10</v>
      </c>
      <c r="I39">
        <v>300</v>
      </c>
      <c r="J39">
        <v>7.93</v>
      </c>
      <c r="K39">
        <v>3.9</v>
      </c>
      <c r="L39">
        <v>102</v>
      </c>
      <c r="M39">
        <v>126</v>
      </c>
      <c r="N39">
        <v>6.7</v>
      </c>
      <c r="O39">
        <v>326</v>
      </c>
      <c r="P39">
        <v>64</v>
      </c>
      <c r="Q39">
        <v>16.399999999999999</v>
      </c>
      <c r="R39">
        <v>25</v>
      </c>
      <c r="S39">
        <v>31</v>
      </c>
      <c r="T39">
        <v>22.6</v>
      </c>
      <c r="U39">
        <v>7.2</v>
      </c>
      <c r="V39">
        <v>15.4</v>
      </c>
      <c r="W39">
        <v>42</v>
      </c>
    </row>
    <row r="40" spans="1:23" x14ac:dyDescent="0.2">
      <c r="A40" s="7"/>
      <c r="B40" s="1" t="s">
        <v>40</v>
      </c>
      <c r="C40" s="1">
        <v>30</v>
      </c>
      <c r="D40" s="2">
        <v>21</v>
      </c>
      <c r="E40" s="2">
        <v>18</v>
      </c>
      <c r="F40" s="2">
        <v>10</v>
      </c>
      <c r="G40" s="2">
        <v>12</v>
      </c>
      <c r="H40" s="2">
        <v>10</v>
      </c>
      <c r="I40">
        <v>300</v>
      </c>
      <c r="J40">
        <v>4.46</v>
      </c>
      <c r="K40">
        <v>4.4400000000000004</v>
      </c>
      <c r="L40">
        <v>140</v>
      </c>
      <c r="M40">
        <v>131</v>
      </c>
      <c r="N40">
        <v>4.05</v>
      </c>
      <c r="O40">
        <v>210</v>
      </c>
      <c r="P40">
        <v>52</v>
      </c>
      <c r="Q40">
        <v>44.2</v>
      </c>
      <c r="R40">
        <v>89.4</v>
      </c>
      <c r="S40">
        <v>1351</v>
      </c>
      <c r="T40">
        <v>15.5</v>
      </c>
      <c r="U40">
        <v>11.1</v>
      </c>
      <c r="V40">
        <v>4.4000000000000004</v>
      </c>
      <c r="W40">
        <v>35.4</v>
      </c>
    </row>
    <row r="41" spans="1:23" x14ac:dyDescent="0.2">
      <c r="A41" s="7"/>
      <c r="B41" s="1" t="s">
        <v>41</v>
      </c>
      <c r="C41" s="1">
        <v>29</v>
      </c>
      <c r="D41" s="2">
        <v>25</v>
      </c>
      <c r="E41" s="2">
        <v>24</v>
      </c>
      <c r="F41" s="2">
        <v>5</v>
      </c>
      <c r="G41" s="2">
        <v>8</v>
      </c>
      <c r="H41" s="2">
        <v>11</v>
      </c>
      <c r="I41">
        <v>166.4</v>
      </c>
      <c r="J41">
        <v>7.46</v>
      </c>
      <c r="K41">
        <v>4.62</v>
      </c>
      <c r="L41">
        <v>224</v>
      </c>
      <c r="M41">
        <v>151</v>
      </c>
      <c r="N41">
        <v>3.93</v>
      </c>
      <c r="O41">
        <v>364</v>
      </c>
      <c r="P41">
        <v>81</v>
      </c>
      <c r="Q41">
        <v>27.3</v>
      </c>
      <c r="R41">
        <v>40.799999999999997</v>
      </c>
      <c r="S41">
        <v>188</v>
      </c>
      <c r="T41">
        <v>11.9</v>
      </c>
      <c r="U41">
        <v>4.8</v>
      </c>
      <c r="V41">
        <v>7.1</v>
      </c>
      <c r="W41">
        <v>34.200000000000003</v>
      </c>
    </row>
    <row r="42" spans="1:23" x14ac:dyDescent="0.2">
      <c r="A42" s="7"/>
      <c r="B42" s="1" t="s">
        <v>42</v>
      </c>
      <c r="C42" s="1">
        <v>43</v>
      </c>
      <c r="D42" s="2">
        <v>23</v>
      </c>
      <c r="E42" s="2">
        <v>19</v>
      </c>
      <c r="F42" s="2">
        <v>9</v>
      </c>
      <c r="G42" s="2">
        <v>7</v>
      </c>
      <c r="H42" s="2">
        <v>8</v>
      </c>
      <c r="I42">
        <v>192</v>
      </c>
      <c r="J42">
        <v>9.67</v>
      </c>
      <c r="K42">
        <v>5.31</v>
      </c>
      <c r="L42">
        <v>289</v>
      </c>
      <c r="M42">
        <v>168</v>
      </c>
      <c r="N42">
        <v>4.12</v>
      </c>
      <c r="O42">
        <v>426</v>
      </c>
      <c r="P42">
        <v>51</v>
      </c>
      <c r="Q42">
        <v>22.7</v>
      </c>
      <c r="R42">
        <v>21</v>
      </c>
      <c r="S42">
        <v>98</v>
      </c>
      <c r="T42">
        <v>5</v>
      </c>
      <c r="U42">
        <v>1.7</v>
      </c>
      <c r="V42">
        <v>3.3</v>
      </c>
      <c r="W42">
        <v>40.4</v>
      </c>
    </row>
    <row r="43" spans="1:23" x14ac:dyDescent="0.2">
      <c r="A43" s="7"/>
      <c r="B43" s="1" t="s">
        <v>43</v>
      </c>
      <c r="C43" s="1">
        <v>36</v>
      </c>
      <c r="D43" s="2">
        <v>27</v>
      </c>
      <c r="E43" s="2">
        <v>23</v>
      </c>
      <c r="F43" s="2">
        <v>4</v>
      </c>
      <c r="G43" s="2">
        <v>9</v>
      </c>
      <c r="H43" s="2">
        <v>10</v>
      </c>
      <c r="I43">
        <v>160</v>
      </c>
      <c r="J43">
        <v>5.67</v>
      </c>
      <c r="K43">
        <v>5.03</v>
      </c>
      <c r="L43">
        <v>250</v>
      </c>
      <c r="M43">
        <v>167</v>
      </c>
      <c r="N43">
        <v>5.64</v>
      </c>
      <c r="O43">
        <v>490</v>
      </c>
      <c r="P43">
        <v>60</v>
      </c>
      <c r="Q43">
        <v>24.8</v>
      </c>
      <c r="R43">
        <v>43</v>
      </c>
      <c r="S43">
        <v>52</v>
      </c>
      <c r="T43">
        <v>8</v>
      </c>
      <c r="U43">
        <v>3.6</v>
      </c>
      <c r="V43">
        <v>4.4000000000000004</v>
      </c>
      <c r="W43">
        <v>48.3</v>
      </c>
    </row>
    <row r="44" spans="1:23" x14ac:dyDescent="0.2">
      <c r="A44" s="7"/>
      <c r="B44" s="1" t="s">
        <v>44</v>
      </c>
      <c r="C44" s="1">
        <v>28</v>
      </c>
      <c r="D44" s="2">
        <v>24</v>
      </c>
      <c r="E44" s="2">
        <v>22</v>
      </c>
      <c r="F44" s="2">
        <v>8</v>
      </c>
      <c r="G44" s="2">
        <v>9</v>
      </c>
      <c r="H44" s="2">
        <v>8</v>
      </c>
      <c r="I44">
        <v>169.6</v>
      </c>
      <c r="J44">
        <v>7.19</v>
      </c>
      <c r="K44">
        <v>4.96</v>
      </c>
      <c r="L44">
        <v>210</v>
      </c>
      <c r="M44">
        <v>148</v>
      </c>
      <c r="N44">
        <v>5.25</v>
      </c>
      <c r="O44">
        <v>413</v>
      </c>
      <c r="P44">
        <v>84</v>
      </c>
      <c r="Q44">
        <v>36.799999999999997</v>
      </c>
      <c r="R44">
        <v>28.7</v>
      </c>
      <c r="S44">
        <v>233</v>
      </c>
      <c r="T44">
        <v>15.1</v>
      </c>
      <c r="U44">
        <v>5</v>
      </c>
      <c r="V44">
        <v>10.1</v>
      </c>
      <c r="W44">
        <v>42.1</v>
      </c>
    </row>
    <row r="45" spans="1:23" x14ac:dyDescent="0.2">
      <c r="A45" s="7"/>
      <c r="B45" s="1" t="s">
        <v>45</v>
      </c>
      <c r="C45" s="1">
        <v>50</v>
      </c>
      <c r="D45" s="2">
        <v>25</v>
      </c>
      <c r="E45" s="2">
        <v>21</v>
      </c>
      <c r="F45" s="2">
        <v>8</v>
      </c>
      <c r="G45" s="2">
        <v>8</v>
      </c>
      <c r="H45" s="2">
        <v>10</v>
      </c>
      <c r="I45">
        <v>200</v>
      </c>
      <c r="J45">
        <v>8.5500000000000007</v>
      </c>
      <c r="K45">
        <v>4.01</v>
      </c>
      <c r="L45">
        <v>86</v>
      </c>
      <c r="M45">
        <v>129</v>
      </c>
      <c r="N45">
        <v>4.7699999999999996</v>
      </c>
      <c r="O45">
        <v>692</v>
      </c>
      <c r="P45">
        <v>68</v>
      </c>
      <c r="Q45">
        <v>122</v>
      </c>
      <c r="R45">
        <v>244.8</v>
      </c>
      <c r="S45">
        <v>290</v>
      </c>
      <c r="T45">
        <v>13.8</v>
      </c>
      <c r="U45">
        <v>6.2</v>
      </c>
      <c r="V45">
        <v>7.6</v>
      </c>
      <c r="W45">
        <v>42</v>
      </c>
    </row>
    <row r="46" spans="1:23" x14ac:dyDescent="0.2">
      <c r="A46" s="7"/>
      <c r="B46" s="1" t="s">
        <v>46</v>
      </c>
      <c r="C46" s="1">
        <v>47</v>
      </c>
      <c r="D46" s="2">
        <v>26</v>
      </c>
      <c r="E46" s="2">
        <v>24</v>
      </c>
      <c r="F46" s="2">
        <v>8</v>
      </c>
      <c r="G46" s="2">
        <v>8</v>
      </c>
      <c r="H46" s="2">
        <v>9</v>
      </c>
      <c r="I46">
        <v>200</v>
      </c>
      <c r="J46">
        <v>6.04</v>
      </c>
      <c r="K46">
        <v>3.92</v>
      </c>
      <c r="L46">
        <v>298</v>
      </c>
      <c r="M46">
        <v>128</v>
      </c>
      <c r="N46">
        <v>4.8899999999999997</v>
      </c>
      <c r="O46">
        <v>419</v>
      </c>
      <c r="P46">
        <v>63</v>
      </c>
      <c r="Q46">
        <v>8</v>
      </c>
      <c r="R46">
        <v>19</v>
      </c>
      <c r="S46">
        <v>21.9</v>
      </c>
      <c r="T46">
        <v>8.3000000000000007</v>
      </c>
      <c r="U46">
        <v>2.8</v>
      </c>
      <c r="V46">
        <v>5.5</v>
      </c>
      <c r="W46">
        <v>40.700000000000003</v>
      </c>
    </row>
    <row r="47" spans="1:23" x14ac:dyDescent="0.2">
      <c r="A47" s="7"/>
      <c r="B47" s="1" t="s">
        <v>47</v>
      </c>
      <c r="C47" s="1">
        <v>51</v>
      </c>
      <c r="D47" s="2">
        <v>22</v>
      </c>
      <c r="E47" s="2">
        <v>22</v>
      </c>
      <c r="F47" s="2">
        <v>10</v>
      </c>
      <c r="G47" s="2">
        <v>14</v>
      </c>
      <c r="H47" s="2">
        <v>16</v>
      </c>
      <c r="I47">
        <v>312</v>
      </c>
      <c r="J47">
        <v>7.99</v>
      </c>
      <c r="K47">
        <v>3.87</v>
      </c>
      <c r="L47">
        <v>144</v>
      </c>
      <c r="M47">
        <v>126</v>
      </c>
      <c r="N47">
        <v>26.09</v>
      </c>
      <c r="O47">
        <v>945</v>
      </c>
      <c r="P47">
        <v>140</v>
      </c>
      <c r="Q47">
        <v>162.69999999999999</v>
      </c>
      <c r="R47">
        <v>185.9</v>
      </c>
      <c r="S47">
        <v>564</v>
      </c>
      <c r="T47">
        <v>33.299999999999997</v>
      </c>
      <c r="U47">
        <v>9</v>
      </c>
      <c r="V47">
        <v>24.3</v>
      </c>
      <c r="W47">
        <v>42</v>
      </c>
    </row>
    <row r="48" spans="1:23" x14ac:dyDescent="0.2">
      <c r="A48" s="7"/>
      <c r="B48" s="1" t="s">
        <v>48</v>
      </c>
      <c r="C48" s="1">
        <v>56</v>
      </c>
      <c r="D48" s="2">
        <v>21</v>
      </c>
      <c r="E48" s="2">
        <v>18</v>
      </c>
      <c r="F48" s="2">
        <v>7</v>
      </c>
      <c r="G48" s="2">
        <v>7</v>
      </c>
      <c r="H48" s="2">
        <v>9</v>
      </c>
      <c r="I48">
        <v>187.2</v>
      </c>
      <c r="J48">
        <v>8.68</v>
      </c>
      <c r="K48">
        <v>4.4000000000000004</v>
      </c>
      <c r="L48">
        <v>266</v>
      </c>
      <c r="M48">
        <v>151</v>
      </c>
      <c r="N48">
        <v>12.86</v>
      </c>
      <c r="O48">
        <v>248</v>
      </c>
      <c r="P48">
        <v>65</v>
      </c>
      <c r="Q48">
        <v>28.3</v>
      </c>
      <c r="R48">
        <v>19.2</v>
      </c>
      <c r="S48">
        <v>23</v>
      </c>
      <c r="T48">
        <v>10.8</v>
      </c>
      <c r="U48">
        <v>1.9</v>
      </c>
      <c r="V48">
        <v>8.9</v>
      </c>
      <c r="W48">
        <v>47.1</v>
      </c>
    </row>
    <row r="49" spans="1:23" x14ac:dyDescent="0.2">
      <c r="A49" s="7"/>
      <c r="B49" s="1" t="s">
        <v>49</v>
      </c>
      <c r="C49" s="1">
        <v>41</v>
      </c>
      <c r="D49" s="2">
        <v>26</v>
      </c>
      <c r="E49" s="2">
        <v>23</v>
      </c>
      <c r="F49" s="2">
        <v>11</v>
      </c>
      <c r="G49" s="2">
        <v>9</v>
      </c>
      <c r="H49" s="2">
        <v>8</v>
      </c>
      <c r="I49">
        <v>105.6</v>
      </c>
      <c r="J49">
        <v>5.92</v>
      </c>
      <c r="K49">
        <v>4.58</v>
      </c>
      <c r="L49">
        <v>146</v>
      </c>
      <c r="M49">
        <v>155</v>
      </c>
      <c r="N49">
        <v>13.31</v>
      </c>
      <c r="O49">
        <v>390</v>
      </c>
      <c r="P49">
        <v>126</v>
      </c>
      <c r="Q49">
        <v>99</v>
      </c>
      <c r="R49">
        <v>67</v>
      </c>
      <c r="S49">
        <v>125</v>
      </c>
      <c r="T49">
        <v>16.7</v>
      </c>
      <c r="U49">
        <v>5.6</v>
      </c>
      <c r="V49">
        <v>11.1</v>
      </c>
      <c r="W49">
        <v>48.3</v>
      </c>
    </row>
    <row r="50" spans="1:23" x14ac:dyDescent="0.2">
      <c r="A50" s="7"/>
      <c r="B50" s="1" t="s">
        <v>50</v>
      </c>
      <c r="C50" s="1">
        <v>30</v>
      </c>
      <c r="D50" s="2">
        <v>25</v>
      </c>
      <c r="E50" s="2">
        <v>24</v>
      </c>
      <c r="F50" s="2">
        <v>4</v>
      </c>
      <c r="G50" s="2">
        <v>5</v>
      </c>
      <c r="H50" s="2">
        <v>7</v>
      </c>
      <c r="I50">
        <v>200</v>
      </c>
      <c r="J50">
        <v>10.29</v>
      </c>
      <c r="K50">
        <v>4.6399999999999997</v>
      </c>
      <c r="L50">
        <v>265</v>
      </c>
      <c r="M50">
        <v>139</v>
      </c>
      <c r="N50">
        <v>3.88</v>
      </c>
      <c r="O50">
        <v>423</v>
      </c>
      <c r="P50">
        <v>65</v>
      </c>
      <c r="Q50">
        <v>14</v>
      </c>
      <c r="R50">
        <v>27</v>
      </c>
      <c r="S50">
        <v>15.2</v>
      </c>
      <c r="T50">
        <v>7.7</v>
      </c>
      <c r="U50">
        <v>2.2000000000000002</v>
      </c>
      <c r="V50">
        <v>5.5</v>
      </c>
      <c r="W50">
        <v>45.5</v>
      </c>
    </row>
    <row r="51" spans="1:23" x14ac:dyDescent="0.2">
      <c r="A51" s="7"/>
      <c r="B51" s="1" t="s">
        <v>51</v>
      </c>
      <c r="C51" s="1">
        <v>53</v>
      </c>
      <c r="D51" s="2">
        <v>25</v>
      </c>
      <c r="E51" s="2">
        <v>24</v>
      </c>
      <c r="F51" s="2">
        <v>4</v>
      </c>
      <c r="G51" s="2">
        <v>10</v>
      </c>
      <c r="H51" s="2">
        <v>12</v>
      </c>
      <c r="I51">
        <v>234</v>
      </c>
      <c r="J51">
        <v>5.91</v>
      </c>
      <c r="K51">
        <v>5.71</v>
      </c>
      <c r="L51">
        <v>196</v>
      </c>
      <c r="M51">
        <v>137</v>
      </c>
      <c r="N51">
        <v>4.7300000000000004</v>
      </c>
      <c r="O51">
        <v>351</v>
      </c>
      <c r="P51">
        <v>69</v>
      </c>
      <c r="Q51">
        <v>44</v>
      </c>
      <c r="R51">
        <v>83</v>
      </c>
      <c r="S51">
        <v>300.10000000000002</v>
      </c>
      <c r="T51">
        <v>26.9</v>
      </c>
      <c r="U51">
        <v>6.4</v>
      </c>
      <c r="V51">
        <v>20.5</v>
      </c>
      <c r="W51">
        <v>45.9</v>
      </c>
    </row>
    <row r="52" spans="1:23" x14ac:dyDescent="0.2">
      <c r="A52" s="7"/>
      <c r="B52" s="1" t="s">
        <v>52</v>
      </c>
      <c r="C52" s="1">
        <v>29</v>
      </c>
      <c r="D52" s="2">
        <v>25</v>
      </c>
      <c r="E52" s="2">
        <v>21</v>
      </c>
      <c r="F52" s="2">
        <v>5</v>
      </c>
      <c r="G52" s="2">
        <v>8</v>
      </c>
      <c r="H52" s="2">
        <v>9</v>
      </c>
      <c r="I52">
        <v>118.8</v>
      </c>
      <c r="J52">
        <v>6.6</v>
      </c>
      <c r="K52">
        <v>5.66</v>
      </c>
      <c r="L52">
        <v>212</v>
      </c>
      <c r="M52">
        <v>168</v>
      </c>
      <c r="N52">
        <v>8.0399999999999991</v>
      </c>
      <c r="O52">
        <v>534</v>
      </c>
      <c r="P52">
        <v>64</v>
      </c>
      <c r="Q52">
        <v>17</v>
      </c>
      <c r="R52">
        <v>37</v>
      </c>
      <c r="S52">
        <v>95.9</v>
      </c>
      <c r="T52">
        <v>13.4</v>
      </c>
      <c r="U52">
        <v>3.4</v>
      </c>
      <c r="V52">
        <v>10</v>
      </c>
      <c r="W52">
        <v>44.1</v>
      </c>
    </row>
    <row r="53" spans="1:23" x14ac:dyDescent="0.2">
      <c r="A53" s="7"/>
      <c r="B53" s="1" t="s">
        <v>53</v>
      </c>
      <c r="C53" s="1">
        <v>44</v>
      </c>
      <c r="D53" s="2">
        <v>24</v>
      </c>
      <c r="E53" s="2">
        <v>25</v>
      </c>
      <c r="F53" s="2">
        <v>7</v>
      </c>
      <c r="G53" s="2">
        <v>11</v>
      </c>
      <c r="H53" s="2">
        <v>4</v>
      </c>
      <c r="I53">
        <v>40</v>
      </c>
      <c r="J53">
        <v>2.68</v>
      </c>
      <c r="K53">
        <v>3.92</v>
      </c>
      <c r="L53">
        <v>89</v>
      </c>
      <c r="M53">
        <v>134</v>
      </c>
      <c r="N53">
        <v>5</v>
      </c>
      <c r="O53">
        <v>324</v>
      </c>
      <c r="P53">
        <v>58</v>
      </c>
      <c r="Q53">
        <v>49</v>
      </c>
      <c r="R53">
        <v>112</v>
      </c>
      <c r="S53">
        <v>1104.0999999999999</v>
      </c>
      <c r="T53">
        <v>35.5</v>
      </c>
      <c r="U53">
        <v>20.399999999999999</v>
      </c>
      <c r="V53">
        <v>15.1</v>
      </c>
      <c r="W53">
        <v>44.6</v>
      </c>
    </row>
    <row r="54" spans="1:23" x14ac:dyDescent="0.2">
      <c r="A54" s="7"/>
      <c r="B54" s="1" t="s">
        <v>54</v>
      </c>
      <c r="C54" s="1">
        <v>36</v>
      </c>
      <c r="D54" s="2">
        <v>26</v>
      </c>
      <c r="E54" s="2">
        <v>17</v>
      </c>
      <c r="F54" s="2">
        <v>2</v>
      </c>
      <c r="G54" s="2">
        <v>10</v>
      </c>
      <c r="H54" s="2">
        <v>6</v>
      </c>
      <c r="I54">
        <v>198</v>
      </c>
      <c r="J54">
        <v>7.66</v>
      </c>
      <c r="K54">
        <v>4.68</v>
      </c>
      <c r="L54">
        <v>165</v>
      </c>
      <c r="M54">
        <v>150</v>
      </c>
      <c r="N54">
        <v>9.0299999999999994</v>
      </c>
      <c r="O54">
        <v>437</v>
      </c>
      <c r="P54">
        <v>68</v>
      </c>
      <c r="Q54">
        <v>25</v>
      </c>
      <c r="R54">
        <v>21</v>
      </c>
      <c r="S54">
        <v>47.5</v>
      </c>
      <c r="T54">
        <v>6.4</v>
      </c>
      <c r="U54">
        <v>1</v>
      </c>
      <c r="V54">
        <v>5.4</v>
      </c>
      <c r="W54">
        <v>40.1</v>
      </c>
    </row>
    <row r="55" spans="1:23" x14ac:dyDescent="0.2">
      <c r="A55" s="7"/>
      <c r="B55" s="1" t="s">
        <v>55</v>
      </c>
      <c r="C55" s="1">
        <v>55</v>
      </c>
      <c r="D55" s="2">
        <v>23</v>
      </c>
      <c r="E55" s="2">
        <v>22</v>
      </c>
      <c r="F55" s="2">
        <v>6</v>
      </c>
      <c r="G55" s="2">
        <v>8</v>
      </c>
      <c r="H55" s="2">
        <v>9</v>
      </c>
      <c r="I55">
        <v>180</v>
      </c>
      <c r="J55">
        <v>6.66</v>
      </c>
      <c r="K55">
        <v>4.22</v>
      </c>
      <c r="L55">
        <v>143</v>
      </c>
      <c r="M55">
        <v>127</v>
      </c>
      <c r="N55">
        <v>4.13</v>
      </c>
      <c r="O55">
        <v>569</v>
      </c>
      <c r="P55">
        <v>68</v>
      </c>
      <c r="Q55">
        <v>32</v>
      </c>
      <c r="R55">
        <v>88</v>
      </c>
      <c r="S55">
        <v>23.7</v>
      </c>
      <c r="T55">
        <v>18.399999999999999</v>
      </c>
      <c r="U55">
        <v>6.7</v>
      </c>
      <c r="V55">
        <v>11.7</v>
      </c>
      <c r="W55">
        <v>42.8</v>
      </c>
    </row>
    <row r="56" spans="1:23" x14ac:dyDescent="0.2">
      <c r="A56" s="7"/>
      <c r="B56" s="1" t="s">
        <v>56</v>
      </c>
      <c r="C56" s="1">
        <v>39</v>
      </c>
      <c r="D56" s="2">
        <v>23</v>
      </c>
      <c r="E56" s="2">
        <v>22</v>
      </c>
      <c r="F56" s="2">
        <v>6</v>
      </c>
      <c r="G56" s="2">
        <v>9</v>
      </c>
      <c r="H56" s="2">
        <v>4</v>
      </c>
      <c r="I56">
        <v>114</v>
      </c>
      <c r="J56">
        <v>8.64</v>
      </c>
      <c r="K56">
        <v>5.4</v>
      </c>
      <c r="L56">
        <v>254</v>
      </c>
      <c r="M56">
        <v>150</v>
      </c>
      <c r="N56">
        <v>4.4800000000000004</v>
      </c>
      <c r="O56">
        <v>543</v>
      </c>
      <c r="P56">
        <v>78</v>
      </c>
      <c r="Q56">
        <v>15</v>
      </c>
      <c r="R56">
        <v>26</v>
      </c>
      <c r="S56">
        <v>44.9</v>
      </c>
      <c r="T56">
        <v>25.1</v>
      </c>
      <c r="U56">
        <v>7.5</v>
      </c>
      <c r="V56">
        <v>17.600000000000001</v>
      </c>
      <c r="W56">
        <v>44.7</v>
      </c>
    </row>
    <row r="57" spans="1:23" x14ac:dyDescent="0.2">
      <c r="A57" s="7"/>
      <c r="B57" s="1" t="s">
        <v>57</v>
      </c>
      <c r="C57" s="1">
        <v>47</v>
      </c>
      <c r="D57" s="2">
        <v>25</v>
      </c>
      <c r="E57" s="2">
        <v>22</v>
      </c>
      <c r="F57" s="2">
        <v>7</v>
      </c>
      <c r="G57" s="2">
        <v>10</v>
      </c>
      <c r="H57" s="2">
        <v>4</v>
      </c>
      <c r="I57">
        <v>66</v>
      </c>
      <c r="J57">
        <v>5.14</v>
      </c>
      <c r="K57">
        <v>2.95</v>
      </c>
      <c r="L57">
        <v>263</v>
      </c>
      <c r="M57">
        <v>111</v>
      </c>
      <c r="N57">
        <v>4.6399999999999997</v>
      </c>
      <c r="O57">
        <v>292</v>
      </c>
      <c r="P57">
        <v>63</v>
      </c>
      <c r="Q57">
        <v>31</v>
      </c>
      <c r="R57">
        <v>59</v>
      </c>
      <c r="S57">
        <v>317</v>
      </c>
      <c r="T57">
        <v>10.8</v>
      </c>
      <c r="U57">
        <v>4.0999999999999996</v>
      </c>
      <c r="V57">
        <v>6.7</v>
      </c>
      <c r="W57">
        <v>40.6</v>
      </c>
    </row>
    <row r="58" spans="1:23" x14ac:dyDescent="0.2">
      <c r="A58" s="7"/>
      <c r="B58" s="1" t="s">
        <v>58</v>
      </c>
      <c r="C58" s="1">
        <v>28</v>
      </c>
      <c r="D58" s="2">
        <v>24</v>
      </c>
      <c r="E58" s="2">
        <v>25</v>
      </c>
      <c r="F58" s="2">
        <v>7</v>
      </c>
      <c r="G58" s="2">
        <v>9</v>
      </c>
      <c r="H58" s="2">
        <v>9</v>
      </c>
      <c r="I58">
        <v>240</v>
      </c>
      <c r="J58">
        <v>12.57</v>
      </c>
      <c r="K58">
        <v>4.62</v>
      </c>
      <c r="L58">
        <v>196</v>
      </c>
      <c r="M58">
        <v>141</v>
      </c>
      <c r="N58">
        <v>5.01</v>
      </c>
      <c r="O58">
        <v>398</v>
      </c>
      <c r="P58">
        <v>80</v>
      </c>
      <c r="Q58">
        <v>67</v>
      </c>
      <c r="R58">
        <v>175</v>
      </c>
      <c r="S58">
        <v>300.3</v>
      </c>
      <c r="T58">
        <v>35.299999999999997</v>
      </c>
      <c r="U58">
        <v>14.9</v>
      </c>
      <c r="V58">
        <v>20.399999999999999</v>
      </c>
      <c r="W58">
        <v>46.8</v>
      </c>
    </row>
    <row r="59" spans="1:23" x14ac:dyDescent="0.2">
      <c r="A59" s="7"/>
      <c r="B59" s="1" t="s">
        <v>59</v>
      </c>
      <c r="C59" s="1">
        <v>55</v>
      </c>
      <c r="D59" s="2">
        <v>25</v>
      </c>
      <c r="E59" s="2">
        <v>22</v>
      </c>
      <c r="F59" s="2">
        <v>8</v>
      </c>
      <c r="G59" s="2">
        <v>9</v>
      </c>
      <c r="H59" s="2">
        <v>4</v>
      </c>
      <c r="I59">
        <v>200</v>
      </c>
      <c r="J59">
        <v>3.45</v>
      </c>
      <c r="K59">
        <v>4.32</v>
      </c>
      <c r="L59">
        <v>119</v>
      </c>
      <c r="M59">
        <v>146</v>
      </c>
      <c r="N59">
        <v>5.46</v>
      </c>
      <c r="O59">
        <v>592</v>
      </c>
      <c r="P59">
        <v>85</v>
      </c>
      <c r="Q59">
        <v>107</v>
      </c>
      <c r="R59">
        <v>174</v>
      </c>
      <c r="S59">
        <v>353</v>
      </c>
      <c r="T59">
        <v>20.2</v>
      </c>
      <c r="U59">
        <v>10.6</v>
      </c>
      <c r="V59">
        <v>9.6</v>
      </c>
      <c r="W59">
        <v>39.299999999999997</v>
      </c>
    </row>
    <row r="60" spans="1:23" x14ac:dyDescent="0.2">
      <c r="A60" s="7"/>
      <c r="B60" s="1" t="s">
        <v>60</v>
      </c>
      <c r="C60" s="1">
        <v>34</v>
      </c>
      <c r="D60" s="2">
        <v>22</v>
      </c>
      <c r="E60" s="2">
        <v>17</v>
      </c>
      <c r="F60" s="2">
        <v>5</v>
      </c>
      <c r="G60" s="2">
        <v>9</v>
      </c>
      <c r="H60" s="2">
        <v>9</v>
      </c>
      <c r="I60">
        <v>100</v>
      </c>
      <c r="J60">
        <v>5.24</v>
      </c>
      <c r="K60">
        <v>5.28</v>
      </c>
      <c r="L60">
        <v>113</v>
      </c>
      <c r="M60">
        <v>165</v>
      </c>
      <c r="N60">
        <v>4.34</v>
      </c>
      <c r="O60">
        <v>428</v>
      </c>
      <c r="P60">
        <v>81</v>
      </c>
      <c r="Q60">
        <v>140</v>
      </c>
      <c r="R60">
        <v>226</v>
      </c>
      <c r="S60">
        <v>111.7</v>
      </c>
      <c r="T60">
        <v>22.3</v>
      </c>
      <c r="U60">
        <v>6.1</v>
      </c>
      <c r="V60">
        <v>16.2</v>
      </c>
      <c r="W60">
        <v>40.9</v>
      </c>
    </row>
    <row r="61" spans="1:23" x14ac:dyDescent="0.2">
      <c r="A61" s="7"/>
      <c r="B61" s="1" t="s">
        <v>61</v>
      </c>
      <c r="C61" s="1">
        <v>29</v>
      </c>
      <c r="D61" s="2">
        <v>23</v>
      </c>
      <c r="E61" s="2">
        <v>17</v>
      </c>
      <c r="F61" s="2">
        <v>7</v>
      </c>
      <c r="G61" s="2">
        <v>7</v>
      </c>
      <c r="H61" s="2">
        <v>5</v>
      </c>
      <c r="I61">
        <v>105.6</v>
      </c>
      <c r="J61">
        <v>9.68</v>
      </c>
      <c r="K61">
        <v>5.1100000000000003</v>
      </c>
      <c r="L61">
        <v>232</v>
      </c>
      <c r="M61">
        <v>163</v>
      </c>
      <c r="N61">
        <v>4.13</v>
      </c>
      <c r="O61">
        <v>470</v>
      </c>
      <c r="P61">
        <v>71</v>
      </c>
      <c r="Q61">
        <v>7</v>
      </c>
      <c r="R61">
        <v>20</v>
      </c>
      <c r="S61">
        <v>24.3</v>
      </c>
      <c r="T61">
        <v>9.5</v>
      </c>
      <c r="U61">
        <v>2</v>
      </c>
      <c r="V61">
        <v>7.5</v>
      </c>
      <c r="W61">
        <v>48.1</v>
      </c>
    </row>
  </sheetData>
  <mergeCells count="2">
    <mergeCell ref="A32:A61"/>
    <mergeCell ref="A2:A31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EFAF-1408-408C-858B-92D09CF1B3A3}">
  <dimension ref="A1:D74"/>
  <sheetViews>
    <sheetView workbookViewId="0">
      <selection activeCell="A62" sqref="A62:XFD62"/>
    </sheetView>
  </sheetViews>
  <sheetFormatPr baseColWidth="10" defaultColWidth="8.83203125" defaultRowHeight="15" x14ac:dyDescent="0.2"/>
  <cols>
    <col min="2" max="2" width="15.83203125" customWidth="1"/>
  </cols>
  <sheetData>
    <row r="1" spans="1:4" x14ac:dyDescent="0.2">
      <c r="B1" t="s">
        <v>154</v>
      </c>
      <c r="C1" t="s">
        <v>153</v>
      </c>
      <c r="D1" t="s">
        <v>152</v>
      </c>
    </row>
    <row r="2" spans="1:4" x14ac:dyDescent="0.2">
      <c r="A2" t="s">
        <v>151</v>
      </c>
      <c r="B2">
        <v>63.805999999999997</v>
      </c>
      <c r="C2" s="8">
        <f>AVERAGE(B2:B7)</f>
        <v>89.465500000000006</v>
      </c>
      <c r="D2" s="8">
        <v>5.7000000000000003E-5</v>
      </c>
    </row>
    <row r="3" spans="1:4" x14ac:dyDescent="0.2">
      <c r="A3" t="s">
        <v>150</v>
      </c>
      <c r="B3">
        <v>89.216999999999999</v>
      </c>
      <c r="C3" s="8"/>
      <c r="D3" s="8"/>
    </row>
    <row r="4" spans="1:4" x14ac:dyDescent="0.2">
      <c r="A4" t="s">
        <v>149</v>
      </c>
      <c r="B4">
        <v>96.878</v>
      </c>
      <c r="C4" s="8"/>
      <c r="D4" s="8"/>
    </row>
    <row r="5" spans="1:4" x14ac:dyDescent="0.2">
      <c r="A5" t="s">
        <v>148</v>
      </c>
      <c r="B5">
        <v>103.631</v>
      </c>
      <c r="C5" s="8"/>
      <c r="D5" s="8"/>
    </row>
    <row r="6" spans="1:4" x14ac:dyDescent="0.2">
      <c r="A6" t="s">
        <v>147</v>
      </c>
      <c r="B6">
        <v>98.935000000000002</v>
      </c>
      <c r="C6" s="8"/>
      <c r="D6" s="8"/>
    </row>
    <row r="7" spans="1:4" x14ac:dyDescent="0.2">
      <c r="A7" t="s">
        <v>146</v>
      </c>
      <c r="B7">
        <v>84.325999999999993</v>
      </c>
      <c r="C7" s="8"/>
      <c r="D7" s="8"/>
    </row>
    <row r="8" spans="1:4" x14ac:dyDescent="0.2">
      <c r="A8" t="s">
        <v>145</v>
      </c>
      <c r="B8">
        <v>132.28700000000001</v>
      </c>
      <c r="C8" s="8">
        <f>AVERAGE(B8:B13)</f>
        <v>131.37700000000001</v>
      </c>
      <c r="D8" s="8"/>
    </row>
    <row r="9" spans="1:4" x14ac:dyDescent="0.2">
      <c r="A9" t="s">
        <v>144</v>
      </c>
      <c r="B9">
        <v>124.303</v>
      </c>
      <c r="C9" s="8"/>
      <c r="D9" s="8"/>
    </row>
    <row r="10" spans="1:4" x14ac:dyDescent="0.2">
      <c r="A10" t="s">
        <v>143</v>
      </c>
      <c r="B10">
        <v>125.812</v>
      </c>
      <c r="C10" s="8"/>
      <c r="D10" s="8"/>
    </row>
    <row r="11" spans="1:4" x14ac:dyDescent="0.2">
      <c r="A11" t="s">
        <v>142</v>
      </c>
      <c r="B11">
        <v>138.32300000000001</v>
      </c>
      <c r="C11" s="8"/>
      <c r="D11" s="8"/>
    </row>
    <row r="12" spans="1:4" x14ac:dyDescent="0.2">
      <c r="A12" t="s">
        <v>141</v>
      </c>
      <c r="B12">
        <v>136.85900000000001</v>
      </c>
      <c r="C12" s="8"/>
      <c r="D12" s="8"/>
    </row>
    <row r="13" spans="1:4" x14ac:dyDescent="0.2">
      <c r="A13" t="s">
        <v>140</v>
      </c>
      <c r="B13">
        <v>130.678</v>
      </c>
      <c r="C13" s="8"/>
      <c r="D13" s="8"/>
    </row>
    <row r="15" spans="1:4" x14ac:dyDescent="0.2">
      <c r="A15" t="s">
        <v>139</v>
      </c>
      <c r="B15">
        <v>100.059</v>
      </c>
      <c r="C15" s="8">
        <f>AVERAGE(B15:B19)</f>
        <v>90.822000000000003</v>
      </c>
      <c r="D15" s="8">
        <v>3.1300000000000002E-4</v>
      </c>
    </row>
    <row r="16" spans="1:4" x14ac:dyDescent="0.2">
      <c r="A16" t="s">
        <v>138</v>
      </c>
      <c r="B16">
        <v>94.555999999999997</v>
      </c>
      <c r="C16" s="8"/>
      <c r="D16" s="8"/>
    </row>
    <row r="17" spans="1:4" x14ac:dyDescent="0.2">
      <c r="A17" t="s">
        <v>137</v>
      </c>
      <c r="B17">
        <v>105.142</v>
      </c>
      <c r="C17" s="8"/>
      <c r="D17" s="8"/>
    </row>
    <row r="18" spans="1:4" x14ac:dyDescent="0.2">
      <c r="A18" t="s">
        <v>136</v>
      </c>
      <c r="B18">
        <v>83.025999999999996</v>
      </c>
      <c r="C18" s="8"/>
      <c r="D18" s="8"/>
    </row>
    <row r="19" spans="1:4" x14ac:dyDescent="0.2">
      <c r="A19" t="s">
        <v>135</v>
      </c>
      <c r="B19">
        <v>71.326999999999998</v>
      </c>
      <c r="C19" s="8"/>
      <c r="D19" s="8"/>
    </row>
    <row r="20" spans="1:4" x14ac:dyDescent="0.2">
      <c r="A20" t="s">
        <v>134</v>
      </c>
      <c r="B20">
        <v>148.327</v>
      </c>
      <c r="C20" s="8">
        <f>AVERAGE(B20:B24)</f>
        <v>136.20179999999999</v>
      </c>
      <c r="D20" s="8"/>
    </row>
    <row r="21" spans="1:4" x14ac:dyDescent="0.2">
      <c r="A21" t="s">
        <v>133</v>
      </c>
      <c r="B21">
        <v>143.69800000000001</v>
      </c>
      <c r="C21" s="8"/>
      <c r="D21" s="8"/>
    </row>
    <row r="22" spans="1:4" x14ac:dyDescent="0.2">
      <c r="A22" t="s">
        <v>132</v>
      </c>
      <c r="B22">
        <v>134.49299999999999</v>
      </c>
      <c r="C22" s="8"/>
      <c r="D22" s="8"/>
    </row>
    <row r="23" spans="1:4" x14ac:dyDescent="0.2">
      <c r="A23" t="s">
        <v>131</v>
      </c>
      <c r="B23">
        <v>130.505</v>
      </c>
      <c r="C23" s="8"/>
      <c r="D23" s="8"/>
    </row>
    <row r="24" spans="1:4" x14ac:dyDescent="0.2">
      <c r="A24" t="s">
        <v>130</v>
      </c>
      <c r="B24">
        <v>123.986</v>
      </c>
      <c r="C24" s="8"/>
      <c r="D24" s="8"/>
    </row>
    <row r="26" spans="1:4" x14ac:dyDescent="0.2">
      <c r="A26" t="s">
        <v>129</v>
      </c>
      <c r="B26">
        <v>121.88800000000001</v>
      </c>
      <c r="C26" s="8">
        <f>AVERAGE(B26:B31)</f>
        <v>127.86933333333332</v>
      </c>
      <c r="D26" s="8">
        <v>3.3300000000000002E-4</v>
      </c>
    </row>
    <row r="27" spans="1:4" x14ac:dyDescent="0.2">
      <c r="A27" t="s">
        <v>128</v>
      </c>
      <c r="B27">
        <v>132.79300000000001</v>
      </c>
      <c r="C27" s="8"/>
      <c r="D27" s="8"/>
    </row>
    <row r="28" spans="1:4" x14ac:dyDescent="0.2">
      <c r="A28" t="s">
        <v>127</v>
      </c>
      <c r="B28">
        <v>128.804</v>
      </c>
      <c r="C28" s="8"/>
      <c r="D28" s="8"/>
    </row>
    <row r="29" spans="1:4" x14ac:dyDescent="0.2">
      <c r="A29" t="s">
        <v>126</v>
      </c>
      <c r="B29">
        <v>130.27600000000001</v>
      </c>
      <c r="C29" s="8"/>
      <c r="D29" s="8"/>
    </row>
    <row r="30" spans="1:4" x14ac:dyDescent="0.2">
      <c r="A30" t="s">
        <v>125</v>
      </c>
      <c r="B30">
        <v>122.60299999999999</v>
      </c>
      <c r="C30" s="8"/>
      <c r="D30" s="8"/>
    </row>
    <row r="31" spans="1:4" x14ac:dyDescent="0.2">
      <c r="A31" t="s">
        <v>124</v>
      </c>
      <c r="B31">
        <v>130.852</v>
      </c>
      <c r="C31" s="8"/>
      <c r="D31" s="8"/>
    </row>
    <row r="32" spans="1:4" x14ac:dyDescent="0.2">
      <c r="A32" t="s">
        <v>123</v>
      </c>
      <c r="B32">
        <v>92.863</v>
      </c>
      <c r="C32" s="8">
        <f>AVERAGE(B32:B37)</f>
        <v>106.70466666666665</v>
      </c>
      <c r="D32" s="8"/>
    </row>
    <row r="33" spans="1:4" x14ac:dyDescent="0.2">
      <c r="A33" t="s">
        <v>122</v>
      </c>
      <c r="B33">
        <v>109.96299999999999</v>
      </c>
      <c r="C33" s="8"/>
      <c r="D33" s="8"/>
    </row>
    <row r="34" spans="1:4" x14ac:dyDescent="0.2">
      <c r="A34" t="s">
        <v>121</v>
      </c>
      <c r="B34">
        <v>101.816</v>
      </c>
      <c r="C34" s="8"/>
      <c r="D34" s="8"/>
    </row>
    <row r="35" spans="1:4" x14ac:dyDescent="0.2">
      <c r="A35" t="s">
        <v>120</v>
      </c>
      <c r="B35">
        <v>112.83799999999999</v>
      </c>
      <c r="C35" s="8"/>
      <c r="D35" s="8"/>
    </row>
    <row r="36" spans="1:4" x14ac:dyDescent="0.2">
      <c r="A36" t="s">
        <v>119</v>
      </c>
      <c r="B36">
        <v>116.968</v>
      </c>
      <c r="C36" s="8"/>
      <c r="D36" s="8"/>
    </row>
    <row r="37" spans="1:4" x14ac:dyDescent="0.2">
      <c r="A37" t="s">
        <v>118</v>
      </c>
      <c r="B37">
        <v>105.78</v>
      </c>
      <c r="C37" s="8"/>
      <c r="D37" s="8"/>
    </row>
    <row r="39" spans="1:4" x14ac:dyDescent="0.2">
      <c r="A39" t="s">
        <v>117</v>
      </c>
      <c r="B39">
        <v>106.17100000000001</v>
      </c>
      <c r="C39" s="8">
        <f>AVERAGE(B39:B44)</f>
        <v>100.16816666666666</v>
      </c>
      <c r="D39" s="8">
        <v>4.0000000000000001E-3</v>
      </c>
    </row>
    <row r="40" spans="1:4" x14ac:dyDescent="0.2">
      <c r="A40" t="s">
        <v>116</v>
      </c>
      <c r="B40">
        <v>107.44</v>
      </c>
      <c r="C40" s="8"/>
      <c r="D40" s="8"/>
    </row>
    <row r="41" spans="1:4" x14ac:dyDescent="0.2">
      <c r="A41" t="s">
        <v>115</v>
      </c>
      <c r="B41">
        <v>87.14</v>
      </c>
      <c r="C41" s="8"/>
      <c r="D41" s="8"/>
    </row>
    <row r="42" spans="1:4" x14ac:dyDescent="0.2">
      <c r="A42" t="s">
        <v>114</v>
      </c>
      <c r="B42">
        <v>109.404</v>
      </c>
      <c r="C42" s="8"/>
      <c r="D42" s="8"/>
    </row>
    <row r="43" spans="1:4" x14ac:dyDescent="0.2">
      <c r="A43" t="s">
        <v>113</v>
      </c>
      <c r="B43">
        <v>82.257000000000005</v>
      </c>
      <c r="C43" s="8"/>
      <c r="D43" s="8"/>
    </row>
    <row r="44" spans="1:4" x14ac:dyDescent="0.2">
      <c r="A44" t="s">
        <v>112</v>
      </c>
      <c r="B44">
        <v>108.59699999999999</v>
      </c>
      <c r="C44" s="8"/>
      <c r="D44" s="8"/>
    </row>
    <row r="45" spans="1:4" x14ac:dyDescent="0.2">
      <c r="A45" t="s">
        <v>111</v>
      </c>
      <c r="B45">
        <v>140.11000000000001</v>
      </c>
      <c r="C45" s="8">
        <f>AVERAGE(B45:B50)</f>
        <v>138.1455</v>
      </c>
      <c r="D45" s="8"/>
    </row>
    <row r="46" spans="1:4" x14ac:dyDescent="0.2">
      <c r="A46" t="s">
        <v>110</v>
      </c>
      <c r="B46">
        <v>133.78700000000001</v>
      </c>
      <c r="C46" s="8"/>
      <c r="D46" s="8"/>
    </row>
    <row r="47" spans="1:4" x14ac:dyDescent="0.2">
      <c r="A47" t="s">
        <v>109</v>
      </c>
      <c r="B47">
        <v>136.78</v>
      </c>
      <c r="C47" s="8"/>
      <c r="D47" s="8"/>
    </row>
    <row r="48" spans="1:4" x14ac:dyDescent="0.2">
      <c r="A48" t="s">
        <v>108</v>
      </c>
      <c r="B48">
        <v>137.90799999999999</v>
      </c>
      <c r="C48" s="8"/>
      <c r="D48" s="8"/>
    </row>
    <row r="49" spans="1:4" x14ac:dyDescent="0.2">
      <c r="A49" t="s">
        <v>107</v>
      </c>
      <c r="B49">
        <v>144.958</v>
      </c>
      <c r="C49" s="8"/>
      <c r="D49" s="8"/>
    </row>
    <row r="50" spans="1:4" x14ac:dyDescent="0.2">
      <c r="A50" t="s">
        <v>106</v>
      </c>
      <c r="B50">
        <v>135.33000000000001</v>
      </c>
      <c r="C50" s="8"/>
      <c r="D50" s="8"/>
    </row>
    <row r="52" spans="1:4" x14ac:dyDescent="0.2">
      <c r="A52" t="s">
        <v>105</v>
      </c>
      <c r="B52">
        <v>109.43899999999999</v>
      </c>
      <c r="C52" s="8">
        <f>AVERAGE(B52:B56)</f>
        <v>104.03440000000001</v>
      </c>
      <c r="D52" s="8">
        <v>1.75E-4</v>
      </c>
    </row>
    <row r="53" spans="1:4" x14ac:dyDescent="0.2">
      <c r="A53" t="s">
        <v>104</v>
      </c>
      <c r="B53">
        <v>99.903999999999996</v>
      </c>
      <c r="C53" s="8"/>
      <c r="D53" s="8"/>
    </row>
    <row r="54" spans="1:4" x14ac:dyDescent="0.2">
      <c r="A54" t="s">
        <v>103</v>
      </c>
      <c r="B54">
        <v>107.43300000000001</v>
      </c>
      <c r="C54" s="8"/>
      <c r="D54" s="8"/>
    </row>
    <row r="55" spans="1:4" x14ac:dyDescent="0.2">
      <c r="A55" t="s">
        <v>102</v>
      </c>
      <c r="B55">
        <v>94.052999999999997</v>
      </c>
      <c r="C55" s="8"/>
      <c r="D55" s="8"/>
    </row>
    <row r="56" spans="1:4" x14ac:dyDescent="0.2">
      <c r="A56" t="s">
        <v>101</v>
      </c>
      <c r="B56">
        <v>109.343</v>
      </c>
      <c r="C56" s="8"/>
      <c r="D56" s="8"/>
    </row>
    <row r="57" spans="1:4" x14ac:dyDescent="0.2">
      <c r="A57" t="s">
        <v>100</v>
      </c>
      <c r="B57">
        <v>149.922</v>
      </c>
      <c r="C57" s="8">
        <f>AVERAGE(B57:B61)</f>
        <v>138.7328</v>
      </c>
      <c r="D57" s="8"/>
    </row>
    <row r="58" spans="1:4" x14ac:dyDescent="0.2">
      <c r="A58" t="s">
        <v>99</v>
      </c>
      <c r="B58">
        <v>145.209</v>
      </c>
      <c r="C58" s="8"/>
      <c r="D58" s="8"/>
    </row>
    <row r="59" spans="1:4" x14ac:dyDescent="0.2">
      <c r="A59" t="s">
        <v>98</v>
      </c>
      <c r="B59">
        <v>127.461</v>
      </c>
      <c r="C59" s="8"/>
      <c r="D59" s="8"/>
    </row>
    <row r="60" spans="1:4" x14ac:dyDescent="0.2">
      <c r="A60" t="s">
        <v>97</v>
      </c>
      <c r="B60">
        <v>140.92699999999999</v>
      </c>
      <c r="C60" s="8"/>
      <c r="D60" s="8"/>
    </row>
    <row r="61" spans="1:4" x14ac:dyDescent="0.2">
      <c r="A61" t="s">
        <v>96</v>
      </c>
      <c r="B61">
        <v>130.14500000000001</v>
      </c>
      <c r="C61" s="8"/>
      <c r="D61" s="8"/>
    </row>
    <row r="63" spans="1:4" x14ac:dyDescent="0.2">
      <c r="A63" t="s">
        <v>95</v>
      </c>
      <c r="B63">
        <v>142.18799999999999</v>
      </c>
      <c r="C63" s="8">
        <f>AVERAGE(B63:B68)</f>
        <v>138.62883333333335</v>
      </c>
      <c r="D63" s="8">
        <v>4.0000000000000001E-3</v>
      </c>
    </row>
    <row r="64" spans="1:4" x14ac:dyDescent="0.2">
      <c r="A64" t="s">
        <v>94</v>
      </c>
      <c r="B64">
        <v>140.53800000000001</v>
      </c>
      <c r="C64" s="8"/>
      <c r="D64" s="8"/>
    </row>
    <row r="65" spans="1:4" x14ac:dyDescent="0.2">
      <c r="A65" t="s">
        <v>93</v>
      </c>
      <c r="B65">
        <v>141.26300000000001</v>
      </c>
      <c r="C65" s="8"/>
      <c r="D65" s="8"/>
    </row>
    <row r="66" spans="1:4" x14ac:dyDescent="0.2">
      <c r="A66" t="s">
        <v>92</v>
      </c>
      <c r="B66">
        <v>128.47300000000001</v>
      </c>
      <c r="C66" s="8"/>
      <c r="D66" s="8"/>
    </row>
    <row r="67" spans="1:4" x14ac:dyDescent="0.2">
      <c r="A67" t="s">
        <v>91</v>
      </c>
      <c r="B67">
        <v>138.072</v>
      </c>
      <c r="C67" s="8"/>
      <c r="D67" s="8"/>
    </row>
    <row r="68" spans="1:4" x14ac:dyDescent="0.2">
      <c r="A68" t="s">
        <v>90</v>
      </c>
      <c r="B68">
        <v>141.239</v>
      </c>
      <c r="C68" s="8"/>
      <c r="D68" s="8"/>
    </row>
    <row r="69" spans="1:4" x14ac:dyDescent="0.2">
      <c r="A69" t="s">
        <v>89</v>
      </c>
      <c r="B69">
        <v>93.372</v>
      </c>
      <c r="C69" s="8">
        <f>AVERAGE(B69:B74)</f>
        <v>111.80216666666666</v>
      </c>
      <c r="D69" s="8"/>
    </row>
    <row r="70" spans="1:4" x14ac:dyDescent="0.2">
      <c r="A70" t="s">
        <v>88</v>
      </c>
      <c r="B70">
        <v>104.33</v>
      </c>
      <c r="C70" s="8"/>
      <c r="D70" s="8"/>
    </row>
    <row r="71" spans="1:4" x14ac:dyDescent="0.2">
      <c r="A71" t="s">
        <v>87</v>
      </c>
      <c r="B71">
        <v>112.456</v>
      </c>
      <c r="C71" s="8"/>
      <c r="D71" s="8"/>
    </row>
    <row r="72" spans="1:4" x14ac:dyDescent="0.2">
      <c r="A72" t="s">
        <v>86</v>
      </c>
      <c r="B72">
        <v>121.479</v>
      </c>
      <c r="C72" s="8"/>
      <c r="D72" s="8"/>
    </row>
    <row r="73" spans="1:4" x14ac:dyDescent="0.2">
      <c r="A73" t="s">
        <v>85</v>
      </c>
      <c r="B73">
        <v>127.825</v>
      </c>
      <c r="C73" s="8"/>
      <c r="D73" s="8"/>
    </row>
    <row r="74" spans="1:4" x14ac:dyDescent="0.2">
      <c r="A74" t="s">
        <v>84</v>
      </c>
      <c r="B74">
        <v>111.351</v>
      </c>
      <c r="C74" s="8"/>
      <c r="D74" s="8"/>
    </row>
  </sheetData>
  <mergeCells count="18">
    <mergeCell ref="C63:C68"/>
    <mergeCell ref="D63:D74"/>
    <mergeCell ref="C69:C74"/>
    <mergeCell ref="C39:C44"/>
    <mergeCell ref="D39:D50"/>
    <mergeCell ref="C45:C50"/>
    <mergeCell ref="C52:C56"/>
    <mergeCell ref="D52:D61"/>
    <mergeCell ref="C57:C61"/>
    <mergeCell ref="D2:D13"/>
    <mergeCell ref="D15:D24"/>
    <mergeCell ref="D26:D37"/>
    <mergeCell ref="C26:C31"/>
    <mergeCell ref="C32:C37"/>
    <mergeCell ref="C2:C7"/>
    <mergeCell ref="C8:C13"/>
    <mergeCell ref="C15:C19"/>
    <mergeCell ref="C20:C24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41B5-4ED8-4485-9A2D-33E417EB7AA2}">
  <dimension ref="A1:H76"/>
  <sheetViews>
    <sheetView workbookViewId="0">
      <selection activeCell="K31" sqref="K31"/>
    </sheetView>
  </sheetViews>
  <sheetFormatPr baseColWidth="10" defaultColWidth="8.83203125" defaultRowHeight="15" x14ac:dyDescent="0.2"/>
  <sheetData>
    <row r="1" spans="1:8" x14ac:dyDescent="0.2">
      <c r="B1" t="s">
        <v>156</v>
      </c>
      <c r="C1" t="s">
        <v>153</v>
      </c>
      <c r="D1" t="s">
        <v>152</v>
      </c>
      <c r="F1" t="s">
        <v>155</v>
      </c>
      <c r="G1" t="s">
        <v>153</v>
      </c>
      <c r="H1" t="s">
        <v>152</v>
      </c>
    </row>
    <row r="2" spans="1:8" x14ac:dyDescent="0.2">
      <c r="A2" t="s">
        <v>151</v>
      </c>
      <c r="B2">
        <v>105.925</v>
      </c>
      <c r="C2" s="8">
        <f>AVERAGE(B2:B7)</f>
        <v>121.14316666666666</v>
      </c>
      <c r="D2" s="8">
        <v>4.0000000000000001E-3</v>
      </c>
      <c r="F2">
        <v>112.334</v>
      </c>
      <c r="G2" s="8">
        <f>AVERAGE(F2:F7)</f>
        <v>118.26466666666666</v>
      </c>
      <c r="H2" s="8">
        <v>1.2E-2</v>
      </c>
    </row>
    <row r="3" spans="1:8" x14ac:dyDescent="0.2">
      <c r="A3" t="s">
        <v>150</v>
      </c>
      <c r="B3">
        <v>125.53700000000001</v>
      </c>
      <c r="C3" s="8"/>
      <c r="D3" s="8"/>
      <c r="F3">
        <v>104.55500000000001</v>
      </c>
      <c r="G3" s="8"/>
      <c r="H3" s="8"/>
    </row>
    <row r="4" spans="1:8" x14ac:dyDescent="0.2">
      <c r="A4" t="s">
        <v>149</v>
      </c>
      <c r="B4">
        <v>126.373</v>
      </c>
      <c r="C4" s="8"/>
      <c r="D4" s="8"/>
      <c r="F4">
        <v>131.57499999999999</v>
      </c>
      <c r="G4" s="8"/>
      <c r="H4" s="8"/>
    </row>
    <row r="5" spans="1:8" x14ac:dyDescent="0.2">
      <c r="A5" t="s">
        <v>148</v>
      </c>
      <c r="B5">
        <v>108.077</v>
      </c>
      <c r="C5" s="8"/>
      <c r="D5" s="8"/>
      <c r="F5">
        <v>97.474000000000004</v>
      </c>
      <c r="G5" s="8"/>
      <c r="H5" s="8"/>
    </row>
    <row r="6" spans="1:8" x14ac:dyDescent="0.2">
      <c r="A6" t="s">
        <v>147</v>
      </c>
      <c r="B6">
        <v>139.72399999999999</v>
      </c>
      <c r="C6" s="8"/>
      <c r="D6" s="8"/>
      <c r="F6">
        <v>135.56100000000001</v>
      </c>
      <c r="G6" s="8"/>
      <c r="H6" s="8"/>
    </row>
    <row r="7" spans="1:8" x14ac:dyDescent="0.2">
      <c r="A7" t="s">
        <v>146</v>
      </c>
      <c r="B7">
        <v>121.223</v>
      </c>
      <c r="C7" s="8"/>
      <c r="D7" s="8"/>
      <c r="F7">
        <v>128.089</v>
      </c>
      <c r="G7" s="8"/>
      <c r="H7" s="8"/>
    </row>
    <row r="8" spans="1:8" x14ac:dyDescent="0.2">
      <c r="A8" t="s">
        <v>145</v>
      </c>
      <c r="B8">
        <v>97.129000000000005</v>
      </c>
      <c r="C8" s="8">
        <f>AVERAGE(B8:B13)</f>
        <v>100.22266666666667</v>
      </c>
      <c r="D8" s="8"/>
      <c r="F8">
        <v>105.289</v>
      </c>
      <c r="G8" s="8">
        <f>AVERAGE(F8:F13)</f>
        <v>94.919500000000014</v>
      </c>
      <c r="H8" s="8"/>
    </row>
    <row r="9" spans="1:8" x14ac:dyDescent="0.2">
      <c r="A9" t="s">
        <v>144</v>
      </c>
      <c r="B9">
        <v>101.866</v>
      </c>
      <c r="C9" s="8"/>
      <c r="D9" s="8"/>
      <c r="F9">
        <v>87.049000000000007</v>
      </c>
      <c r="G9" s="8"/>
      <c r="H9" s="8"/>
    </row>
    <row r="10" spans="1:8" x14ac:dyDescent="0.2">
      <c r="A10" t="s">
        <v>143</v>
      </c>
      <c r="B10">
        <v>96.248999999999995</v>
      </c>
      <c r="C10" s="8"/>
      <c r="D10" s="8"/>
      <c r="F10">
        <v>108.283</v>
      </c>
      <c r="G10" s="8"/>
      <c r="H10" s="8"/>
    </row>
    <row r="11" spans="1:8" x14ac:dyDescent="0.2">
      <c r="A11" t="s">
        <v>142</v>
      </c>
      <c r="B11">
        <v>108.79900000000001</v>
      </c>
      <c r="C11" s="8"/>
      <c r="D11" s="8"/>
      <c r="F11">
        <v>82.418000000000006</v>
      </c>
      <c r="G11" s="8"/>
      <c r="H11" s="8"/>
    </row>
    <row r="12" spans="1:8" x14ac:dyDescent="0.2">
      <c r="A12" t="s">
        <v>141</v>
      </c>
      <c r="B12">
        <v>103.01900000000001</v>
      </c>
      <c r="C12" s="8"/>
      <c r="D12" s="8"/>
      <c r="F12">
        <v>92.888000000000005</v>
      </c>
      <c r="G12" s="8"/>
      <c r="H12" s="8"/>
    </row>
    <row r="13" spans="1:8" x14ac:dyDescent="0.2">
      <c r="A13" t="s">
        <v>140</v>
      </c>
      <c r="B13">
        <v>94.274000000000001</v>
      </c>
      <c r="C13" s="8"/>
      <c r="D13" s="8"/>
      <c r="F13">
        <v>93.59</v>
      </c>
      <c r="G13" s="8"/>
      <c r="H13" s="8"/>
    </row>
    <row r="15" spans="1:8" x14ac:dyDescent="0.2">
      <c r="A15" t="s">
        <v>139</v>
      </c>
      <c r="B15">
        <v>139.02799999999999</v>
      </c>
      <c r="C15" s="8">
        <f>AVERAGE(B15:B19)</f>
        <v>139.7184</v>
      </c>
      <c r="D15" s="8">
        <v>8.9999999999999993E-3</v>
      </c>
      <c r="F15">
        <v>136.34299999999999</v>
      </c>
      <c r="G15" s="8">
        <f>AVERAGE(F15:F19)</f>
        <v>136.05699999999999</v>
      </c>
      <c r="H15" s="8">
        <v>3.0000000000000001E-3</v>
      </c>
    </row>
    <row r="16" spans="1:8" x14ac:dyDescent="0.2">
      <c r="A16" t="s">
        <v>138</v>
      </c>
      <c r="B16">
        <v>132.59299999999999</v>
      </c>
      <c r="C16" s="8"/>
      <c r="D16" s="8"/>
      <c r="F16">
        <v>126.938</v>
      </c>
      <c r="G16" s="8"/>
      <c r="H16" s="8"/>
    </row>
    <row r="17" spans="1:8" x14ac:dyDescent="0.2">
      <c r="A17" t="s">
        <v>137</v>
      </c>
      <c r="B17">
        <v>134.63300000000001</v>
      </c>
      <c r="C17" s="8"/>
      <c r="D17" s="8"/>
      <c r="F17">
        <v>135.196</v>
      </c>
      <c r="G17" s="8"/>
      <c r="H17" s="8"/>
    </row>
    <row r="18" spans="1:8" x14ac:dyDescent="0.2">
      <c r="A18" t="s">
        <v>136</v>
      </c>
      <c r="B18">
        <v>157.429</v>
      </c>
      <c r="C18" s="8"/>
      <c r="D18" s="8"/>
      <c r="F18">
        <v>162.91499999999999</v>
      </c>
      <c r="G18" s="8"/>
      <c r="H18" s="8"/>
    </row>
    <row r="19" spans="1:8" x14ac:dyDescent="0.2">
      <c r="A19" t="s">
        <v>135</v>
      </c>
      <c r="B19">
        <v>134.90899999999999</v>
      </c>
      <c r="C19" s="8"/>
      <c r="D19" s="8"/>
      <c r="F19">
        <v>118.893</v>
      </c>
      <c r="G19" s="8"/>
      <c r="H19" s="8"/>
    </row>
    <row r="20" spans="1:8" x14ac:dyDescent="0.2">
      <c r="A20" t="s">
        <v>134</v>
      </c>
      <c r="B20">
        <v>110.03400000000001</v>
      </c>
      <c r="C20" s="8">
        <f>AVERAGE(B20:B24)</f>
        <v>112.2864</v>
      </c>
      <c r="D20" s="8"/>
      <c r="F20">
        <v>104.221</v>
      </c>
      <c r="G20" s="8">
        <f>AVERAGE(F20:F24)</f>
        <v>102.42519999999999</v>
      </c>
      <c r="H20" s="8"/>
    </row>
    <row r="21" spans="1:8" x14ac:dyDescent="0.2">
      <c r="A21" t="s">
        <v>133</v>
      </c>
      <c r="B21">
        <v>110.16500000000001</v>
      </c>
      <c r="C21" s="8"/>
      <c r="D21" s="8"/>
      <c r="F21">
        <v>99.900999999999996</v>
      </c>
      <c r="G21" s="8"/>
      <c r="H21" s="8"/>
    </row>
    <row r="22" spans="1:8" x14ac:dyDescent="0.2">
      <c r="A22" t="s">
        <v>132</v>
      </c>
      <c r="B22">
        <v>118.72799999999999</v>
      </c>
      <c r="C22" s="8"/>
      <c r="D22" s="8"/>
      <c r="F22">
        <v>92.364000000000004</v>
      </c>
      <c r="G22" s="8"/>
      <c r="H22" s="8"/>
    </row>
    <row r="23" spans="1:8" x14ac:dyDescent="0.2">
      <c r="A23" t="s">
        <v>131</v>
      </c>
      <c r="B23">
        <v>108.509</v>
      </c>
      <c r="C23" s="8"/>
      <c r="D23" s="8"/>
      <c r="F23">
        <v>109.85899999999999</v>
      </c>
      <c r="G23" s="8"/>
      <c r="H23" s="8"/>
    </row>
    <row r="24" spans="1:8" x14ac:dyDescent="0.2">
      <c r="A24" t="s">
        <v>130</v>
      </c>
      <c r="B24">
        <v>113.996</v>
      </c>
      <c r="C24" s="8"/>
      <c r="D24" s="8"/>
      <c r="F24">
        <v>105.78100000000001</v>
      </c>
      <c r="G24" s="8"/>
      <c r="H24" s="8"/>
    </row>
    <row r="26" spans="1:8" x14ac:dyDescent="0.2">
      <c r="A26" t="s">
        <v>129</v>
      </c>
      <c r="B26">
        <v>115.386</v>
      </c>
      <c r="C26" s="8">
        <f>AVERAGE(B26:B31)</f>
        <v>107.14766666666667</v>
      </c>
      <c r="D26" s="8">
        <v>4.0000000000000001E-3</v>
      </c>
      <c r="F26">
        <v>114.73099999999999</v>
      </c>
      <c r="G26" s="8">
        <f>AVERAGE(F26:F31)</f>
        <v>103.37716666666667</v>
      </c>
      <c r="H26" s="8">
        <v>2.4899999999999998E-4</v>
      </c>
    </row>
    <row r="27" spans="1:8" x14ac:dyDescent="0.2">
      <c r="A27" t="s">
        <v>128</v>
      </c>
      <c r="B27">
        <v>82.766000000000005</v>
      </c>
      <c r="C27" s="8"/>
      <c r="D27" s="8"/>
      <c r="F27">
        <v>77.703999999999994</v>
      </c>
      <c r="G27" s="8"/>
      <c r="H27" s="8"/>
    </row>
    <row r="28" spans="1:8" x14ac:dyDescent="0.2">
      <c r="A28" t="s">
        <v>127</v>
      </c>
      <c r="B28">
        <v>109.69499999999999</v>
      </c>
      <c r="C28" s="8"/>
      <c r="D28" s="8"/>
      <c r="F28">
        <v>115.005</v>
      </c>
      <c r="G28" s="8"/>
      <c r="H28" s="8"/>
    </row>
    <row r="29" spans="1:8" x14ac:dyDescent="0.2">
      <c r="A29" t="s">
        <v>126</v>
      </c>
      <c r="B29">
        <v>111.134</v>
      </c>
      <c r="C29" s="8"/>
      <c r="D29" s="8"/>
      <c r="F29">
        <v>107.08499999999999</v>
      </c>
      <c r="G29" s="8"/>
      <c r="H29" s="8"/>
    </row>
    <row r="30" spans="1:8" x14ac:dyDescent="0.2">
      <c r="A30" t="s">
        <v>125</v>
      </c>
      <c r="B30">
        <v>110.17400000000001</v>
      </c>
      <c r="C30" s="8"/>
      <c r="D30" s="8"/>
      <c r="F30">
        <v>101.316</v>
      </c>
      <c r="G30" s="8"/>
      <c r="H30" s="8"/>
    </row>
    <row r="31" spans="1:8" x14ac:dyDescent="0.2">
      <c r="A31" t="s">
        <v>124</v>
      </c>
      <c r="B31">
        <v>113.73099999999999</v>
      </c>
      <c r="C31" s="8"/>
      <c r="D31" s="8"/>
      <c r="F31">
        <v>104.422</v>
      </c>
      <c r="G31" s="8"/>
      <c r="H31" s="8"/>
    </row>
    <row r="32" spans="1:8" x14ac:dyDescent="0.2">
      <c r="A32" t="s">
        <v>123</v>
      </c>
      <c r="B32">
        <v>157.238</v>
      </c>
      <c r="C32" s="8">
        <f>AVERAGE(B32:B37)</f>
        <v>146.91249999999999</v>
      </c>
      <c r="D32" s="8"/>
      <c r="F32">
        <v>141.11000000000001</v>
      </c>
      <c r="G32" s="8">
        <f>AVERAGE(F32:F37)</f>
        <v>148.13533333333334</v>
      </c>
      <c r="H32" s="8"/>
    </row>
    <row r="33" spans="1:8" x14ac:dyDescent="0.2">
      <c r="A33" t="s">
        <v>122</v>
      </c>
      <c r="B33">
        <v>155.91300000000001</v>
      </c>
      <c r="C33" s="8"/>
      <c r="D33" s="8"/>
      <c r="F33">
        <v>164.63300000000001</v>
      </c>
      <c r="G33" s="8"/>
      <c r="H33" s="8"/>
    </row>
    <row r="34" spans="1:8" x14ac:dyDescent="0.2">
      <c r="A34" t="s">
        <v>121</v>
      </c>
      <c r="B34">
        <v>157.93100000000001</v>
      </c>
      <c r="C34" s="8"/>
      <c r="D34" s="8"/>
      <c r="F34">
        <v>154.934</v>
      </c>
      <c r="G34" s="8"/>
      <c r="H34" s="8"/>
    </row>
    <row r="35" spans="1:8" x14ac:dyDescent="0.2">
      <c r="A35" t="s">
        <v>120</v>
      </c>
      <c r="B35">
        <v>141.13399999999999</v>
      </c>
      <c r="C35" s="8"/>
      <c r="D35" s="8"/>
      <c r="F35">
        <v>161.28899999999999</v>
      </c>
      <c r="G35" s="8"/>
      <c r="H35" s="8"/>
    </row>
    <row r="36" spans="1:8" x14ac:dyDescent="0.2">
      <c r="A36" t="s">
        <v>119</v>
      </c>
      <c r="B36">
        <v>132.05799999999999</v>
      </c>
      <c r="C36" s="8"/>
      <c r="D36" s="8"/>
      <c r="F36">
        <v>128.68700000000001</v>
      </c>
      <c r="G36" s="8"/>
      <c r="H36" s="8"/>
    </row>
    <row r="37" spans="1:8" x14ac:dyDescent="0.2">
      <c r="A37" t="s">
        <v>118</v>
      </c>
      <c r="B37">
        <v>137.20099999999999</v>
      </c>
      <c r="C37" s="8"/>
      <c r="D37" s="8"/>
      <c r="F37">
        <v>138.15899999999999</v>
      </c>
      <c r="G37" s="8"/>
      <c r="H37" s="8"/>
    </row>
    <row r="39" spans="1:8" x14ac:dyDescent="0.2">
      <c r="A39" t="s">
        <v>117</v>
      </c>
      <c r="B39">
        <v>146.03399999999999</v>
      </c>
      <c r="C39" s="8">
        <f>AVERAGE(B39:B44)</f>
        <v>140.28983333333335</v>
      </c>
      <c r="D39" s="8">
        <v>2.1800000000000001E-4</v>
      </c>
      <c r="F39">
        <v>146.74</v>
      </c>
      <c r="G39" s="8">
        <f>AVERAGE(F39:F44)</f>
        <v>142.81416666666667</v>
      </c>
      <c r="H39" s="8">
        <v>3.0000000000000001E-3</v>
      </c>
    </row>
    <row r="40" spans="1:8" x14ac:dyDescent="0.2">
      <c r="A40" t="s">
        <v>116</v>
      </c>
      <c r="B40">
        <v>130.45099999999999</v>
      </c>
      <c r="C40" s="8"/>
      <c r="D40" s="8"/>
      <c r="F40">
        <v>134.79499999999999</v>
      </c>
      <c r="G40" s="8"/>
      <c r="H40" s="8"/>
    </row>
    <row r="41" spans="1:8" x14ac:dyDescent="0.2">
      <c r="A41" t="s">
        <v>115</v>
      </c>
      <c r="B41">
        <v>148.19800000000001</v>
      </c>
      <c r="C41" s="8"/>
      <c r="D41" s="8"/>
      <c r="F41">
        <v>152.821</v>
      </c>
      <c r="G41" s="8"/>
      <c r="H41" s="8"/>
    </row>
    <row r="42" spans="1:8" x14ac:dyDescent="0.2">
      <c r="A42" t="s">
        <v>114</v>
      </c>
      <c r="B42">
        <v>141.19300000000001</v>
      </c>
      <c r="C42" s="8"/>
      <c r="D42" s="8"/>
      <c r="F42">
        <v>150.679</v>
      </c>
      <c r="G42" s="8"/>
      <c r="H42" s="8"/>
    </row>
    <row r="43" spans="1:8" x14ac:dyDescent="0.2">
      <c r="A43" t="s">
        <v>113</v>
      </c>
      <c r="B43">
        <v>143.09399999999999</v>
      </c>
      <c r="C43" s="8"/>
      <c r="D43" s="8"/>
      <c r="F43">
        <v>139.83099999999999</v>
      </c>
      <c r="G43" s="8"/>
      <c r="H43" s="8"/>
    </row>
    <row r="44" spans="1:8" x14ac:dyDescent="0.2">
      <c r="A44" t="s">
        <v>112</v>
      </c>
      <c r="B44">
        <v>132.76900000000001</v>
      </c>
      <c r="C44" s="8"/>
      <c r="D44" s="8"/>
      <c r="F44">
        <v>132.01900000000001</v>
      </c>
      <c r="G44" s="8"/>
      <c r="H44" s="8"/>
    </row>
    <row r="45" spans="1:8" x14ac:dyDescent="0.2">
      <c r="A45" t="s">
        <v>111</v>
      </c>
      <c r="B45">
        <v>126.61199999999999</v>
      </c>
      <c r="C45" s="8">
        <f>AVERAGE(B45:B50)</f>
        <v>121.21233333333332</v>
      </c>
      <c r="D45" s="8"/>
      <c r="F45">
        <v>136.30099999999999</v>
      </c>
      <c r="G45" s="8">
        <f>AVERAGE(F45:F50)</f>
        <v>123.89800000000001</v>
      </c>
      <c r="H45" s="8"/>
    </row>
    <row r="46" spans="1:8" x14ac:dyDescent="0.2">
      <c r="A46" t="s">
        <v>110</v>
      </c>
      <c r="B46">
        <v>125.789</v>
      </c>
      <c r="C46" s="8"/>
      <c r="D46" s="8"/>
      <c r="F46">
        <v>126.264</v>
      </c>
      <c r="G46" s="8"/>
      <c r="H46" s="8"/>
    </row>
    <row r="47" spans="1:8" x14ac:dyDescent="0.2">
      <c r="A47" t="s">
        <v>109</v>
      </c>
      <c r="B47">
        <v>115.76</v>
      </c>
      <c r="C47" s="8"/>
      <c r="D47" s="8"/>
      <c r="F47">
        <v>128.87200000000001</v>
      </c>
      <c r="G47" s="8"/>
      <c r="H47" s="8"/>
    </row>
    <row r="48" spans="1:8" x14ac:dyDescent="0.2">
      <c r="A48" t="s">
        <v>108</v>
      </c>
      <c r="B48">
        <v>119.31100000000001</v>
      </c>
      <c r="C48" s="8"/>
      <c r="D48" s="8"/>
      <c r="F48">
        <v>121.071</v>
      </c>
      <c r="G48" s="8"/>
      <c r="H48" s="8"/>
    </row>
    <row r="49" spans="1:8" x14ac:dyDescent="0.2">
      <c r="A49" t="s">
        <v>107</v>
      </c>
      <c r="B49">
        <v>119.973</v>
      </c>
      <c r="C49" s="8"/>
      <c r="D49" s="8"/>
      <c r="F49">
        <v>113.749</v>
      </c>
      <c r="G49" s="8"/>
      <c r="H49" s="8"/>
    </row>
    <row r="50" spans="1:8" x14ac:dyDescent="0.2">
      <c r="A50" t="s">
        <v>106</v>
      </c>
      <c r="B50">
        <v>119.82899999999999</v>
      </c>
      <c r="C50" s="8"/>
      <c r="D50" s="8"/>
      <c r="F50">
        <v>117.131</v>
      </c>
      <c r="G50" s="8"/>
      <c r="H50" s="8"/>
    </row>
    <row r="52" spans="1:8" x14ac:dyDescent="0.2">
      <c r="B52" t="s">
        <v>156</v>
      </c>
      <c r="F52" t="s">
        <v>155</v>
      </c>
    </row>
    <row r="53" spans="1:8" x14ac:dyDescent="0.2">
      <c r="A53" t="s">
        <v>105</v>
      </c>
      <c r="B53">
        <v>153.304</v>
      </c>
      <c r="C53" s="8">
        <f>AVERAGE(B53:B57)</f>
        <v>155.483</v>
      </c>
      <c r="D53" s="8">
        <v>1.8E-5</v>
      </c>
      <c r="F53">
        <v>153.45599999999999</v>
      </c>
      <c r="G53" s="8">
        <f>AVERAGE(F53:F57)</f>
        <v>148.89540000000002</v>
      </c>
      <c r="H53" s="8">
        <v>8.1000000000000004E-5</v>
      </c>
    </row>
    <row r="54" spans="1:8" x14ac:dyDescent="0.2">
      <c r="A54" t="s">
        <v>104</v>
      </c>
      <c r="B54">
        <v>165.11799999999999</v>
      </c>
      <c r="C54" s="8"/>
      <c r="D54" s="8"/>
      <c r="F54">
        <v>160.01900000000001</v>
      </c>
      <c r="G54" s="8"/>
      <c r="H54" s="8"/>
    </row>
    <row r="55" spans="1:8" x14ac:dyDescent="0.2">
      <c r="A55" t="s">
        <v>103</v>
      </c>
      <c r="B55">
        <v>155.66499999999999</v>
      </c>
      <c r="C55" s="8"/>
      <c r="D55" s="8"/>
      <c r="F55">
        <v>143.61099999999999</v>
      </c>
      <c r="G55" s="8"/>
      <c r="H55" s="8"/>
    </row>
    <row r="56" spans="1:8" x14ac:dyDescent="0.2">
      <c r="A56" t="s">
        <v>102</v>
      </c>
      <c r="B56">
        <v>152.553</v>
      </c>
      <c r="C56" s="8"/>
      <c r="D56" s="8"/>
      <c r="F56">
        <v>144.33600000000001</v>
      </c>
      <c r="G56" s="8"/>
      <c r="H56" s="8"/>
    </row>
    <row r="57" spans="1:8" x14ac:dyDescent="0.2">
      <c r="A57" t="s">
        <v>101</v>
      </c>
      <c r="B57">
        <v>150.77500000000001</v>
      </c>
      <c r="C57" s="8"/>
      <c r="D57" s="8"/>
      <c r="F57">
        <v>143.05500000000001</v>
      </c>
      <c r="G57" s="8"/>
      <c r="H57" s="8"/>
    </row>
    <row r="58" spans="1:8" x14ac:dyDescent="0.2">
      <c r="A58" t="s">
        <v>100</v>
      </c>
      <c r="B58">
        <v>125.22199999999999</v>
      </c>
      <c r="C58" s="8">
        <f>AVERAGE(B58:B62)</f>
        <v>123.4136</v>
      </c>
      <c r="D58" s="8"/>
      <c r="F58">
        <v>121.60899999999999</v>
      </c>
      <c r="G58" s="8">
        <f>AVERAGE(F58:F62)</f>
        <v>115.21960000000001</v>
      </c>
      <c r="H58" s="8"/>
    </row>
    <row r="59" spans="1:8" x14ac:dyDescent="0.2">
      <c r="A59" t="s">
        <v>99</v>
      </c>
      <c r="B59">
        <v>128.999</v>
      </c>
      <c r="C59" s="8"/>
      <c r="D59" s="8"/>
      <c r="F59">
        <v>113.956</v>
      </c>
      <c r="G59" s="8"/>
      <c r="H59" s="8"/>
    </row>
    <row r="60" spans="1:8" x14ac:dyDescent="0.2">
      <c r="A60" t="s">
        <v>98</v>
      </c>
      <c r="B60">
        <v>127.023</v>
      </c>
      <c r="C60" s="8"/>
      <c r="D60" s="8"/>
      <c r="F60">
        <v>104.312</v>
      </c>
      <c r="G60" s="8"/>
      <c r="H60" s="8"/>
    </row>
    <row r="61" spans="1:8" x14ac:dyDescent="0.2">
      <c r="A61" t="s">
        <v>97</v>
      </c>
      <c r="B61">
        <v>115.133</v>
      </c>
      <c r="C61" s="8"/>
      <c r="D61" s="8"/>
      <c r="F61">
        <v>115.26600000000001</v>
      </c>
      <c r="G61" s="8"/>
      <c r="H61" s="8"/>
    </row>
    <row r="62" spans="1:8" x14ac:dyDescent="0.2">
      <c r="A62" t="s">
        <v>96</v>
      </c>
      <c r="B62">
        <v>120.691</v>
      </c>
      <c r="C62" s="8"/>
      <c r="D62" s="8"/>
      <c r="F62">
        <v>120.955</v>
      </c>
      <c r="G62" s="8"/>
      <c r="H62" s="8"/>
    </row>
    <row r="64" spans="1:8" x14ac:dyDescent="0.2">
      <c r="B64" t="s">
        <v>156</v>
      </c>
      <c r="F64" t="s">
        <v>155</v>
      </c>
    </row>
    <row r="65" spans="1:8" x14ac:dyDescent="0.2">
      <c r="A65" t="s">
        <v>95</v>
      </c>
      <c r="B65">
        <v>118.43300000000001</v>
      </c>
      <c r="C65" s="8">
        <f>AVERAGE(B65:B70)</f>
        <v>118.08866666666665</v>
      </c>
      <c r="D65" s="8">
        <v>1E-3</v>
      </c>
      <c r="F65">
        <v>101.82299999999999</v>
      </c>
      <c r="G65" s="8">
        <f>AVERAGE(F65:F70)</f>
        <v>109.56433333333332</v>
      </c>
      <c r="H65" s="8">
        <v>2.32E-4</v>
      </c>
    </row>
    <row r="66" spans="1:8" x14ac:dyDescent="0.2">
      <c r="A66" t="s">
        <v>94</v>
      </c>
      <c r="B66">
        <v>115.146</v>
      </c>
      <c r="C66" s="8"/>
      <c r="D66" s="8"/>
      <c r="F66">
        <v>112.209</v>
      </c>
      <c r="G66" s="8"/>
      <c r="H66" s="8"/>
    </row>
    <row r="67" spans="1:8" x14ac:dyDescent="0.2">
      <c r="A67" t="s">
        <v>93</v>
      </c>
      <c r="B67">
        <v>119.07599999999999</v>
      </c>
      <c r="C67" s="8"/>
      <c r="D67" s="8"/>
      <c r="F67">
        <v>106.274</v>
      </c>
      <c r="G67" s="8"/>
      <c r="H67" s="8"/>
    </row>
    <row r="68" spans="1:8" x14ac:dyDescent="0.2">
      <c r="A68" t="s">
        <v>92</v>
      </c>
      <c r="B68">
        <v>119.55500000000001</v>
      </c>
      <c r="C68" s="8"/>
      <c r="D68" s="8"/>
      <c r="F68">
        <v>119.55500000000001</v>
      </c>
      <c r="G68" s="8"/>
      <c r="H68" s="8"/>
    </row>
    <row r="69" spans="1:8" x14ac:dyDescent="0.2">
      <c r="A69" t="s">
        <v>91</v>
      </c>
      <c r="B69">
        <v>117.922</v>
      </c>
      <c r="C69" s="8"/>
      <c r="D69" s="8"/>
      <c r="F69">
        <v>104.694</v>
      </c>
      <c r="G69" s="8"/>
      <c r="H69" s="8"/>
    </row>
    <row r="70" spans="1:8" x14ac:dyDescent="0.2">
      <c r="A70" t="s">
        <v>90</v>
      </c>
      <c r="B70">
        <v>118.4</v>
      </c>
      <c r="C70" s="8"/>
      <c r="D70" s="8"/>
      <c r="F70">
        <v>112.831</v>
      </c>
      <c r="G70" s="8"/>
      <c r="H70" s="8"/>
    </row>
    <row r="71" spans="1:8" x14ac:dyDescent="0.2">
      <c r="A71" t="s">
        <v>89</v>
      </c>
      <c r="B71">
        <v>144.44</v>
      </c>
      <c r="C71" s="8">
        <f>AVERAGE(B71:B76)</f>
        <v>138.70166666666668</v>
      </c>
      <c r="D71" s="8"/>
      <c r="F71">
        <v>121.078</v>
      </c>
      <c r="G71" s="8">
        <f>AVERAGE(F71:F76)</f>
        <v>126.16750000000002</v>
      </c>
      <c r="H71" s="8"/>
    </row>
    <row r="72" spans="1:8" x14ac:dyDescent="0.2">
      <c r="A72" t="s">
        <v>88</v>
      </c>
      <c r="B72">
        <v>135.251</v>
      </c>
      <c r="C72" s="8"/>
      <c r="D72" s="8"/>
      <c r="F72">
        <v>130.08600000000001</v>
      </c>
      <c r="G72" s="8"/>
      <c r="H72" s="8"/>
    </row>
    <row r="73" spans="1:8" x14ac:dyDescent="0.2">
      <c r="A73" t="s">
        <v>87</v>
      </c>
      <c r="B73">
        <v>143.124</v>
      </c>
      <c r="C73" s="8"/>
      <c r="D73" s="8"/>
      <c r="F73">
        <v>124.488</v>
      </c>
      <c r="G73" s="8"/>
      <c r="H73" s="8"/>
    </row>
    <row r="74" spans="1:8" x14ac:dyDescent="0.2">
      <c r="A74" t="s">
        <v>86</v>
      </c>
      <c r="B74">
        <v>146.245</v>
      </c>
      <c r="C74" s="8"/>
      <c r="D74" s="8"/>
      <c r="F74">
        <v>127.188</v>
      </c>
      <c r="G74" s="8"/>
      <c r="H74" s="8"/>
    </row>
    <row r="75" spans="1:8" x14ac:dyDescent="0.2">
      <c r="A75" t="s">
        <v>85</v>
      </c>
      <c r="B75">
        <v>135.29400000000001</v>
      </c>
      <c r="C75" s="8"/>
      <c r="D75" s="8"/>
      <c r="F75">
        <v>128.84800000000001</v>
      </c>
      <c r="G75" s="8"/>
      <c r="H75" s="8"/>
    </row>
    <row r="76" spans="1:8" x14ac:dyDescent="0.2">
      <c r="A76" t="s">
        <v>84</v>
      </c>
      <c r="B76">
        <v>127.85599999999999</v>
      </c>
      <c r="C76" s="8"/>
      <c r="D76" s="8"/>
      <c r="F76">
        <v>125.31699999999999</v>
      </c>
      <c r="G76" s="8"/>
      <c r="H76" s="8"/>
    </row>
  </sheetData>
  <mergeCells count="36">
    <mergeCell ref="H39:H50"/>
    <mergeCell ref="H53:H62"/>
    <mergeCell ref="H65:H76"/>
    <mergeCell ref="C58:C62"/>
    <mergeCell ref="C65:C70"/>
    <mergeCell ref="C71:C76"/>
    <mergeCell ref="G39:G44"/>
    <mergeCell ref="G45:G50"/>
    <mergeCell ref="G58:G62"/>
    <mergeCell ref="G65:G70"/>
    <mergeCell ref="G71:G76"/>
    <mergeCell ref="G53:G57"/>
    <mergeCell ref="C39:C44"/>
    <mergeCell ref="C45:C50"/>
    <mergeCell ref="C53:C57"/>
    <mergeCell ref="D39:D50"/>
    <mergeCell ref="D53:D62"/>
    <mergeCell ref="D65:D76"/>
    <mergeCell ref="C20:C24"/>
    <mergeCell ref="C26:C31"/>
    <mergeCell ref="C32:C37"/>
    <mergeCell ref="D26:D37"/>
    <mergeCell ref="C2:C7"/>
    <mergeCell ref="C8:C13"/>
    <mergeCell ref="C15:C19"/>
    <mergeCell ref="H2:H13"/>
    <mergeCell ref="H15:H24"/>
    <mergeCell ref="D2:D13"/>
    <mergeCell ref="D15:D24"/>
    <mergeCell ref="H26:H37"/>
    <mergeCell ref="G20:G24"/>
    <mergeCell ref="G26:G31"/>
    <mergeCell ref="G32:G37"/>
    <mergeCell ref="G2:G7"/>
    <mergeCell ref="G8:G13"/>
    <mergeCell ref="G15:G19"/>
  </mergeCells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CB9F-66F2-426F-B203-0E1668D3C99F}">
  <dimension ref="A1:Q74"/>
  <sheetViews>
    <sheetView workbookViewId="0">
      <selection activeCell="I8" sqref="I8:I13"/>
    </sheetView>
  </sheetViews>
  <sheetFormatPr baseColWidth="10" defaultColWidth="8.83203125" defaultRowHeight="15" x14ac:dyDescent="0.2"/>
  <cols>
    <col min="1" max="8" width="8.83203125" style="3"/>
    <col min="9" max="11" width="14.1640625" style="3" customWidth="1"/>
    <col min="12" max="14" width="15.83203125" style="3" customWidth="1"/>
    <col min="15" max="15" width="17.1640625" style="3" customWidth="1"/>
    <col min="16" max="16" width="8.83203125" style="3"/>
    <col min="17" max="17" width="17.1640625" style="3" customWidth="1"/>
    <col min="18" max="16384" width="8.83203125" style="3"/>
  </cols>
  <sheetData>
    <row r="1" spans="1:17" x14ac:dyDescent="0.2">
      <c r="C1" s="3" t="s">
        <v>177</v>
      </c>
      <c r="D1" s="3" t="s">
        <v>176</v>
      </c>
      <c r="E1" s="3" t="s">
        <v>175</v>
      </c>
      <c r="F1" s="3" t="s">
        <v>174</v>
      </c>
      <c r="I1" s="3" t="s">
        <v>173</v>
      </c>
      <c r="J1" s="3" t="s">
        <v>170</v>
      </c>
      <c r="K1" s="3" t="s">
        <v>169</v>
      </c>
      <c r="L1" s="3" t="s">
        <v>172</v>
      </c>
      <c r="M1" s="3" t="s">
        <v>170</v>
      </c>
      <c r="N1" s="3" t="s">
        <v>169</v>
      </c>
      <c r="O1" s="3" t="s">
        <v>171</v>
      </c>
      <c r="P1" s="3" t="s">
        <v>170</v>
      </c>
      <c r="Q1" s="3" t="s">
        <v>169</v>
      </c>
    </row>
    <row r="2" spans="1:17" x14ac:dyDescent="0.2">
      <c r="A2" s="10" t="s">
        <v>178</v>
      </c>
      <c r="B2" s="3" t="s">
        <v>168</v>
      </c>
      <c r="C2" s="3">
        <v>550.51159355009997</v>
      </c>
      <c r="D2" s="3">
        <v>1499.4935124883</v>
      </c>
      <c r="E2" s="3">
        <v>431.22524799730002</v>
      </c>
      <c r="F2" s="3">
        <v>834.14106485740001</v>
      </c>
      <c r="G2" s="4"/>
      <c r="H2" s="3" t="s">
        <v>168</v>
      </c>
      <c r="I2" s="3">
        <f t="shared" ref="I2:I13" si="0">C2/F2</f>
        <v>0.65997421388696687</v>
      </c>
      <c r="J2" s="11">
        <f>AVERAGE(I2:I7)</f>
        <v>1.1412797365587635</v>
      </c>
      <c r="K2" s="11">
        <v>1.4999999999999999E-2</v>
      </c>
      <c r="L2" s="3">
        <f t="shared" ref="L2:L13" si="1">D2/F2</f>
        <v>1.7976497928976136</v>
      </c>
      <c r="M2" s="11">
        <f>AVERAGE(L2:L7)</f>
        <v>1.7589506750666029</v>
      </c>
      <c r="N2" s="11">
        <v>1E-3</v>
      </c>
      <c r="O2" s="3">
        <f t="shared" ref="O2:O13" si="2">E2/F2</f>
        <v>0.51696921080251557</v>
      </c>
      <c r="P2" s="11">
        <f>AVERAGE(O2:O7)</f>
        <v>0.79649472152452361</v>
      </c>
      <c r="Q2" s="11">
        <v>0.30199999999999999</v>
      </c>
    </row>
    <row r="3" spans="1:17" x14ac:dyDescent="0.2">
      <c r="A3" s="10"/>
      <c r="B3" s="3" t="s">
        <v>167</v>
      </c>
      <c r="C3" s="3">
        <v>1064.0903196171</v>
      </c>
      <c r="D3" s="3">
        <v>1504.2497756808</v>
      </c>
      <c r="E3" s="3">
        <v>501.64294234689999</v>
      </c>
      <c r="F3" s="3">
        <v>927.55712330380004</v>
      </c>
      <c r="G3" s="4"/>
      <c r="H3" s="3" t="s">
        <v>167</v>
      </c>
      <c r="I3" s="3">
        <f t="shared" si="0"/>
        <v>1.1471965368849653</v>
      </c>
      <c r="J3" s="11"/>
      <c r="K3" s="11"/>
      <c r="L3" s="3">
        <f t="shared" si="1"/>
        <v>1.6217327622075923</v>
      </c>
      <c r="M3" s="11"/>
      <c r="N3" s="11"/>
      <c r="O3" s="3">
        <f t="shared" si="2"/>
        <v>0.5408216159886019</v>
      </c>
      <c r="P3" s="11"/>
      <c r="Q3" s="11"/>
    </row>
    <row r="4" spans="1:17" x14ac:dyDescent="0.2">
      <c r="A4" s="10"/>
      <c r="B4" s="3" t="s">
        <v>166</v>
      </c>
      <c r="C4" s="3">
        <v>1204.0980156147</v>
      </c>
      <c r="D4" s="3">
        <v>1862.7419131183999</v>
      </c>
      <c r="E4" s="3">
        <v>713.00933389620002</v>
      </c>
      <c r="F4" s="3">
        <v>918.19259773509998</v>
      </c>
      <c r="G4" s="4"/>
      <c r="H4" s="3" t="s">
        <v>166</v>
      </c>
      <c r="I4" s="3">
        <f t="shared" si="0"/>
        <v>1.3113784826678423</v>
      </c>
      <c r="J4" s="11"/>
      <c r="K4" s="11"/>
      <c r="L4" s="3">
        <f t="shared" si="1"/>
        <v>2.0287049990527195</v>
      </c>
      <c r="M4" s="11"/>
      <c r="N4" s="11"/>
      <c r="O4" s="3">
        <f t="shared" si="2"/>
        <v>0.7765357024822197</v>
      </c>
      <c r="P4" s="11"/>
      <c r="Q4" s="11"/>
    </row>
    <row r="5" spans="1:17" x14ac:dyDescent="0.2">
      <c r="A5" s="10"/>
      <c r="B5" s="3" t="s">
        <v>165</v>
      </c>
      <c r="C5" s="3">
        <v>1067.7543884565</v>
      </c>
      <c r="D5" s="3">
        <v>1316.7949414935999</v>
      </c>
      <c r="E5" s="3">
        <v>628.7911014105</v>
      </c>
      <c r="F5" s="3">
        <v>837.65120763380003</v>
      </c>
      <c r="G5" s="4"/>
      <c r="H5" s="3" t="s">
        <v>165</v>
      </c>
      <c r="I5" s="3">
        <f t="shared" si="0"/>
        <v>1.274700470465143</v>
      </c>
      <c r="J5" s="11"/>
      <c r="K5" s="11"/>
      <c r="L5" s="3">
        <f t="shared" si="1"/>
        <v>1.5720086469084034</v>
      </c>
      <c r="M5" s="11"/>
      <c r="N5" s="11"/>
      <c r="O5" s="3">
        <f t="shared" si="2"/>
        <v>0.7506598160190221</v>
      </c>
      <c r="P5" s="11"/>
      <c r="Q5" s="11"/>
    </row>
    <row r="6" spans="1:17" x14ac:dyDescent="0.2">
      <c r="A6" s="10"/>
      <c r="B6" s="3" t="s">
        <v>164</v>
      </c>
      <c r="C6" s="3">
        <v>1301.466295809</v>
      </c>
      <c r="D6" s="3">
        <v>1544.3858986871001</v>
      </c>
      <c r="E6" s="3">
        <v>935.06996274170001</v>
      </c>
      <c r="F6" s="3">
        <v>831.45458673940004</v>
      </c>
      <c r="G6" s="4"/>
      <c r="H6" s="3" t="s">
        <v>164</v>
      </c>
      <c r="I6" s="3">
        <f t="shared" si="0"/>
        <v>1.5652884914770626</v>
      </c>
      <c r="J6" s="11"/>
      <c r="K6" s="11"/>
      <c r="L6" s="3">
        <f t="shared" si="1"/>
        <v>1.8574506934209163</v>
      </c>
      <c r="M6" s="11"/>
      <c r="N6" s="11"/>
      <c r="O6" s="3">
        <f t="shared" si="2"/>
        <v>1.1246194051422989</v>
      </c>
      <c r="P6" s="11"/>
      <c r="Q6" s="11"/>
    </row>
    <row r="7" spans="1:17" x14ac:dyDescent="0.2">
      <c r="A7" s="10"/>
      <c r="B7" s="3" t="s">
        <v>163</v>
      </c>
      <c r="C7" s="3">
        <v>834.25874192900005</v>
      </c>
      <c r="D7" s="3">
        <v>1572.6976718275</v>
      </c>
      <c r="E7" s="3">
        <v>1003.3570133614</v>
      </c>
      <c r="F7" s="3">
        <v>938.27578534630004</v>
      </c>
      <c r="G7" s="4"/>
      <c r="H7" s="3" t="s">
        <v>163</v>
      </c>
      <c r="I7" s="3">
        <f t="shared" si="0"/>
        <v>0.88914022397060022</v>
      </c>
      <c r="J7" s="11"/>
      <c r="K7" s="11"/>
      <c r="L7" s="3">
        <f t="shared" si="1"/>
        <v>1.6761571559123705</v>
      </c>
      <c r="M7" s="11"/>
      <c r="N7" s="11"/>
      <c r="O7" s="3">
        <f t="shared" si="2"/>
        <v>1.0693625787124834</v>
      </c>
      <c r="P7" s="11"/>
      <c r="Q7" s="11"/>
    </row>
    <row r="8" spans="1:17" x14ac:dyDescent="0.2">
      <c r="A8" s="10"/>
      <c r="B8" s="3" t="s">
        <v>162</v>
      </c>
      <c r="C8" s="3">
        <v>705.15678021719998</v>
      </c>
      <c r="D8" s="3">
        <v>1147.9655192729999</v>
      </c>
      <c r="E8" s="3">
        <v>651.77372841069996</v>
      </c>
      <c r="F8" s="3">
        <v>708.41301010869995</v>
      </c>
      <c r="G8" s="4"/>
      <c r="H8" s="3" t="s">
        <v>162</v>
      </c>
      <c r="I8" s="3">
        <f t="shared" si="0"/>
        <v>0.99540348660310418</v>
      </c>
      <c r="J8" s="11">
        <f>AVERAGE(I8:I13)</f>
        <v>0.55529482158262911</v>
      </c>
      <c r="K8" s="11"/>
      <c r="L8" s="3">
        <f t="shared" si="1"/>
        <v>1.620474924785549</v>
      </c>
      <c r="M8" s="11">
        <f>AVERAGE(L8:L13)</f>
        <v>1.1484284013504449</v>
      </c>
      <c r="N8" s="11"/>
      <c r="O8" s="3">
        <f t="shared" si="2"/>
        <v>0.92004765456056603</v>
      </c>
      <c r="P8" s="11">
        <f>AVERAGE(O8:O13)</f>
        <v>0.61787685725352581</v>
      </c>
      <c r="Q8" s="11"/>
    </row>
    <row r="9" spans="1:17" x14ac:dyDescent="0.2">
      <c r="A9" s="10"/>
      <c r="B9" s="3" t="s">
        <v>161</v>
      </c>
      <c r="C9" s="3">
        <v>710.22587189959995</v>
      </c>
      <c r="D9" s="3">
        <v>877.10045231740003</v>
      </c>
      <c r="E9" s="3">
        <v>632.02319101939997</v>
      </c>
      <c r="F9" s="3">
        <v>669.68968420149997</v>
      </c>
      <c r="G9" s="4"/>
      <c r="H9" s="3" t="s">
        <v>161</v>
      </c>
      <c r="I9" s="3">
        <f t="shared" si="0"/>
        <v>1.0605298075427771</v>
      </c>
      <c r="J9" s="11"/>
      <c r="K9" s="11"/>
      <c r="L9" s="3">
        <f t="shared" si="1"/>
        <v>1.3097117560698355</v>
      </c>
      <c r="M9" s="11"/>
      <c r="N9" s="11"/>
      <c r="O9" s="3">
        <f t="shared" si="2"/>
        <v>0.94375530328347312</v>
      </c>
      <c r="P9" s="11"/>
      <c r="Q9" s="11"/>
    </row>
    <row r="10" spans="1:17" x14ac:dyDescent="0.2">
      <c r="A10" s="10"/>
      <c r="B10" s="3" t="s">
        <v>160</v>
      </c>
      <c r="C10" s="3">
        <v>340.27037082129999</v>
      </c>
      <c r="D10" s="3">
        <v>929.82974090530001</v>
      </c>
      <c r="E10" s="3">
        <v>605.33133330340002</v>
      </c>
      <c r="F10" s="3">
        <v>1039.8947762836999</v>
      </c>
      <c r="G10" s="4"/>
      <c r="H10" s="3" t="s">
        <v>160</v>
      </c>
      <c r="I10" s="3">
        <f t="shared" si="0"/>
        <v>0.3272161555011685</v>
      </c>
      <c r="J10" s="11"/>
      <c r="K10" s="11"/>
      <c r="L10" s="3">
        <f t="shared" si="1"/>
        <v>0.89415752642614255</v>
      </c>
      <c r="M10" s="11"/>
      <c r="N10" s="11"/>
      <c r="O10" s="3">
        <f t="shared" si="2"/>
        <v>0.58210825470889371</v>
      </c>
      <c r="P10" s="11"/>
      <c r="Q10" s="11"/>
    </row>
    <row r="11" spans="1:17" x14ac:dyDescent="0.2">
      <c r="A11" s="10"/>
      <c r="B11" s="3" t="s">
        <v>159</v>
      </c>
      <c r="C11" s="3">
        <v>292.01866639870002</v>
      </c>
      <c r="D11" s="3">
        <v>871.55386807449997</v>
      </c>
      <c r="E11" s="3">
        <v>501.5021637868</v>
      </c>
      <c r="F11" s="3">
        <v>756.76879255179995</v>
      </c>
      <c r="G11" s="4"/>
      <c r="H11" s="3" t="s">
        <v>159</v>
      </c>
      <c r="I11" s="3">
        <f t="shared" si="0"/>
        <v>0.3858756720319062</v>
      </c>
      <c r="J11" s="11"/>
      <c r="K11" s="11"/>
      <c r="L11" s="3">
        <f t="shared" si="1"/>
        <v>1.1516778660172395</v>
      </c>
      <c r="M11" s="11"/>
      <c r="N11" s="11"/>
      <c r="O11" s="3">
        <f t="shared" si="2"/>
        <v>0.66268874816540846</v>
      </c>
      <c r="P11" s="11"/>
      <c r="Q11" s="11"/>
    </row>
    <row r="12" spans="1:17" x14ac:dyDescent="0.2">
      <c r="A12" s="10"/>
      <c r="B12" s="3" t="s">
        <v>158</v>
      </c>
      <c r="C12" s="3">
        <v>271.53640557680001</v>
      </c>
      <c r="D12" s="3">
        <v>984.35114071860005</v>
      </c>
      <c r="E12" s="3">
        <v>95.908870154100001</v>
      </c>
      <c r="F12" s="3">
        <v>935.90052457440004</v>
      </c>
      <c r="G12" s="4"/>
      <c r="H12" s="3" t="s">
        <v>158</v>
      </c>
      <c r="I12" s="3">
        <f t="shared" si="0"/>
        <v>0.29013383201198756</v>
      </c>
      <c r="J12" s="11"/>
      <c r="K12" s="11"/>
      <c r="L12" s="3">
        <f t="shared" si="1"/>
        <v>1.0517689806469901</v>
      </c>
      <c r="M12" s="11"/>
      <c r="N12" s="11"/>
      <c r="O12" s="3">
        <f t="shared" si="2"/>
        <v>0.10247763264981016</v>
      </c>
      <c r="P12" s="11"/>
      <c r="Q12" s="11"/>
    </row>
    <row r="13" spans="1:17" x14ac:dyDescent="0.2">
      <c r="A13" s="10"/>
      <c r="B13" s="3" t="s">
        <v>157</v>
      </c>
      <c r="C13" s="3">
        <v>262.34909579390001</v>
      </c>
      <c r="D13" s="3">
        <v>830.30484399720001</v>
      </c>
      <c r="E13" s="3">
        <v>477.50749159539998</v>
      </c>
      <c r="F13" s="3">
        <v>962.3605850056</v>
      </c>
      <c r="G13" s="4"/>
      <c r="H13" s="3" t="s">
        <v>157</v>
      </c>
      <c r="I13" s="3">
        <f t="shared" si="0"/>
        <v>0.27260997580483137</v>
      </c>
      <c r="J13" s="11"/>
      <c r="K13" s="11"/>
      <c r="L13" s="3">
        <f t="shared" si="1"/>
        <v>0.86277935415691243</v>
      </c>
      <c r="M13" s="11"/>
      <c r="N13" s="11"/>
      <c r="O13" s="3">
        <f t="shared" si="2"/>
        <v>0.49618355015300358</v>
      </c>
      <c r="P13" s="11"/>
      <c r="Q13" s="11"/>
    </row>
    <row r="15" spans="1:17" x14ac:dyDescent="0.2">
      <c r="A15" s="10" t="s">
        <v>179</v>
      </c>
      <c r="B15" s="5" t="s">
        <v>168</v>
      </c>
      <c r="C15" s="5">
        <v>1035.8063673121001</v>
      </c>
      <c r="D15" s="5">
        <v>274.8275905973</v>
      </c>
      <c r="E15" s="5">
        <v>266.68846269329998</v>
      </c>
      <c r="F15" s="5">
        <v>764.98998388330006</v>
      </c>
      <c r="G15" s="5"/>
      <c r="H15" s="5" t="s">
        <v>168</v>
      </c>
      <c r="I15" s="5">
        <f>C15/F15</f>
        <v>1.354012979430216</v>
      </c>
      <c r="J15" s="9">
        <f>AVERAGE(I15:I20)</f>
        <v>1.0103163624029818</v>
      </c>
      <c r="K15" s="9">
        <v>4.1000000000000002E-2</v>
      </c>
      <c r="L15" s="5">
        <f>D15/F15</f>
        <v>0.35925645614626139</v>
      </c>
      <c r="M15" s="9">
        <f>AVERAGE(L15:L20)</f>
        <v>0.218210389419672</v>
      </c>
      <c r="N15" s="9">
        <v>0.28100000000000003</v>
      </c>
      <c r="O15" s="5">
        <f>E15/F15</f>
        <v>0.34861693396234528</v>
      </c>
      <c r="P15" s="9">
        <f>AVERAGE(O15:O20)</f>
        <v>0.47810517364124244</v>
      </c>
      <c r="Q15" s="9">
        <v>2E-3</v>
      </c>
    </row>
    <row r="16" spans="1:17" x14ac:dyDescent="0.2">
      <c r="A16" s="10"/>
      <c r="B16" s="5" t="s">
        <v>167</v>
      </c>
      <c r="C16" s="5">
        <v>641.16351161279999</v>
      </c>
      <c r="D16" s="5">
        <v>446.6403158745</v>
      </c>
      <c r="E16" s="5">
        <v>505.6558062405</v>
      </c>
      <c r="F16" s="5">
        <v>1048.139704915</v>
      </c>
      <c r="G16" s="5"/>
      <c r="H16" s="5" t="s">
        <v>167</v>
      </c>
      <c r="I16" s="5">
        <f t="shared" ref="I16:I26" si="3">C16/F16</f>
        <v>0.6117156983999531</v>
      </c>
      <c r="J16" s="9"/>
      <c r="K16" s="9"/>
      <c r="L16" s="5">
        <f t="shared" ref="L16:L26" si="4">D16/F16</f>
        <v>0.42612670217537535</v>
      </c>
      <c r="M16" s="9"/>
      <c r="N16" s="9"/>
      <c r="O16" s="5">
        <f t="shared" ref="O16:O26" si="5">E16/F16</f>
        <v>0.48243168717810064</v>
      </c>
      <c r="P16" s="9"/>
      <c r="Q16" s="9"/>
    </row>
    <row r="17" spans="1:17" x14ac:dyDescent="0.2">
      <c r="A17" s="10"/>
      <c r="B17" s="5" t="s">
        <v>166</v>
      </c>
      <c r="C17" s="5">
        <v>1036.6702823369999</v>
      </c>
      <c r="D17" s="5">
        <v>210.69021360849999</v>
      </c>
      <c r="E17" s="5">
        <v>676.05099049620003</v>
      </c>
      <c r="F17" s="5">
        <v>1105.0631614515</v>
      </c>
      <c r="G17" s="5"/>
      <c r="H17" s="5" t="s">
        <v>166</v>
      </c>
      <c r="I17" s="5">
        <f t="shared" si="3"/>
        <v>0.93810952939136427</v>
      </c>
      <c r="J17" s="9"/>
      <c r="K17" s="9"/>
      <c r="L17" s="5">
        <f t="shared" si="4"/>
        <v>0.19065897856169459</v>
      </c>
      <c r="M17" s="9"/>
      <c r="N17" s="9"/>
      <c r="O17" s="5">
        <f t="shared" si="5"/>
        <v>0.6117758822113003</v>
      </c>
      <c r="P17" s="9"/>
      <c r="Q17" s="9"/>
    </row>
    <row r="18" spans="1:17" x14ac:dyDescent="0.2">
      <c r="A18" s="10"/>
      <c r="B18" s="5" t="s">
        <v>165</v>
      </c>
      <c r="C18" s="5">
        <v>726.018468235</v>
      </c>
      <c r="D18" s="5">
        <v>131.01981965900001</v>
      </c>
      <c r="E18" s="5">
        <v>420.29290977319999</v>
      </c>
      <c r="F18" s="5">
        <v>979.28459411649999</v>
      </c>
      <c r="G18" s="5"/>
      <c r="H18" s="5" t="s">
        <v>165</v>
      </c>
      <c r="I18" s="5">
        <f t="shared" si="3"/>
        <v>0.74137638087731383</v>
      </c>
      <c r="J18" s="9"/>
      <c r="K18" s="9"/>
      <c r="L18" s="5">
        <f t="shared" si="4"/>
        <v>0.13379136202709763</v>
      </c>
      <c r="M18" s="9"/>
      <c r="N18" s="9"/>
      <c r="O18" s="5">
        <f t="shared" si="5"/>
        <v>0.42918362271631949</v>
      </c>
      <c r="P18" s="9"/>
      <c r="Q18" s="9"/>
    </row>
    <row r="19" spans="1:17" x14ac:dyDescent="0.2">
      <c r="A19" s="10"/>
      <c r="B19" s="5" t="s">
        <v>164</v>
      </c>
      <c r="C19" s="5">
        <v>746.92748720019995</v>
      </c>
      <c r="D19" s="5">
        <v>83.610985563400007</v>
      </c>
      <c r="E19" s="5">
        <v>608.35640627090004</v>
      </c>
      <c r="F19" s="5">
        <v>947.58861847119999</v>
      </c>
      <c r="G19" s="5"/>
      <c r="H19" s="5" t="s">
        <v>164</v>
      </c>
      <c r="I19" s="5">
        <f t="shared" si="3"/>
        <v>0.78824024755094846</v>
      </c>
      <c r="J19" s="9"/>
      <c r="K19" s="9"/>
      <c r="L19" s="5">
        <f t="shared" si="4"/>
        <v>8.8235531678603832E-2</v>
      </c>
      <c r="M19" s="9"/>
      <c r="N19" s="9"/>
      <c r="O19" s="5">
        <f t="shared" si="5"/>
        <v>0.64200476283938168</v>
      </c>
      <c r="P19" s="9"/>
      <c r="Q19" s="9"/>
    </row>
    <row r="20" spans="1:17" x14ac:dyDescent="0.2">
      <c r="A20" s="10"/>
      <c r="B20" s="5" t="s">
        <v>163</v>
      </c>
      <c r="C20" s="5">
        <v>1223.3994233989999</v>
      </c>
      <c r="D20" s="5">
        <v>83.536112753099999</v>
      </c>
      <c r="E20" s="5">
        <v>266.41371763159998</v>
      </c>
      <c r="F20" s="5">
        <v>751.26926081720001</v>
      </c>
      <c r="G20" s="5"/>
      <c r="H20" s="5" t="s">
        <v>163</v>
      </c>
      <c r="I20" s="5">
        <f t="shared" si="3"/>
        <v>1.628443338768095</v>
      </c>
      <c r="J20" s="9"/>
      <c r="K20" s="9"/>
      <c r="L20" s="5">
        <f t="shared" si="4"/>
        <v>0.11119330592899919</v>
      </c>
      <c r="M20" s="9"/>
      <c r="N20" s="9"/>
      <c r="O20" s="5">
        <f t="shared" si="5"/>
        <v>0.3546181529400072</v>
      </c>
      <c r="P20" s="9"/>
      <c r="Q20" s="9"/>
    </row>
    <row r="21" spans="1:17" x14ac:dyDescent="0.2">
      <c r="A21" s="10"/>
      <c r="B21" s="5" t="s">
        <v>162</v>
      </c>
      <c r="C21" s="5">
        <v>379.4457504472</v>
      </c>
      <c r="D21" s="5">
        <v>166.8944183417</v>
      </c>
      <c r="E21" s="5">
        <v>237.5780434991</v>
      </c>
      <c r="F21" s="5">
        <v>680.95705750540003</v>
      </c>
      <c r="G21" s="5"/>
      <c r="H21" s="5" t="s">
        <v>162</v>
      </c>
      <c r="I21" s="5">
        <f t="shared" si="3"/>
        <v>0.55722419830297587</v>
      </c>
      <c r="J21" s="9">
        <f>AVERAGE(I21:I26)</f>
        <v>0.57123007677562498</v>
      </c>
      <c r="K21" s="9"/>
      <c r="L21" s="5">
        <f t="shared" si="4"/>
        <v>0.245088022074544</v>
      </c>
      <c r="M21" s="9">
        <f>AVERAGE(L21:L26)</f>
        <v>0.14219590223532372</v>
      </c>
      <c r="N21" s="9"/>
      <c r="O21" s="5">
        <f t="shared" si="5"/>
        <v>0.34888843706156314</v>
      </c>
      <c r="P21" s="9">
        <f>AVERAGE(O21:O26)</f>
        <v>0.18418273790628961</v>
      </c>
      <c r="Q21" s="9"/>
    </row>
    <row r="22" spans="1:17" x14ac:dyDescent="0.2">
      <c r="A22" s="10"/>
      <c r="B22" s="5" t="s">
        <v>161</v>
      </c>
      <c r="C22" s="5">
        <v>359.22144568369998</v>
      </c>
      <c r="D22" s="5">
        <v>147.71945037500001</v>
      </c>
      <c r="E22" s="5">
        <v>214.94863603330001</v>
      </c>
      <c r="F22" s="5">
        <v>755.17965130000005</v>
      </c>
      <c r="G22" s="5"/>
      <c r="H22" s="5" t="s">
        <v>161</v>
      </c>
      <c r="I22" s="5">
        <f t="shared" si="3"/>
        <v>0.47567680758521513</v>
      </c>
      <c r="J22" s="9"/>
      <c r="K22" s="9"/>
      <c r="L22" s="5">
        <f t="shared" si="4"/>
        <v>0.19560835639666552</v>
      </c>
      <c r="M22" s="9"/>
      <c r="N22" s="9"/>
      <c r="O22" s="5">
        <f t="shared" si="5"/>
        <v>0.2846324522426919</v>
      </c>
      <c r="P22" s="9"/>
      <c r="Q22" s="9"/>
    </row>
    <row r="23" spans="1:17" x14ac:dyDescent="0.2">
      <c r="A23" s="10"/>
      <c r="B23" s="5" t="s">
        <v>160</v>
      </c>
      <c r="C23" s="5">
        <v>504.35809184930002</v>
      </c>
      <c r="D23" s="5">
        <v>111.5927971671</v>
      </c>
      <c r="E23" s="5">
        <v>49.581858699100003</v>
      </c>
      <c r="F23" s="5">
        <v>773.97049950749999</v>
      </c>
      <c r="G23" s="5"/>
      <c r="H23" s="5" t="s">
        <v>160</v>
      </c>
      <c r="I23" s="5">
        <f t="shared" si="3"/>
        <v>0.65165027888044547</v>
      </c>
      <c r="J23" s="9"/>
      <c r="K23" s="9"/>
      <c r="L23" s="5">
        <f t="shared" si="4"/>
        <v>0.14418223593549076</v>
      </c>
      <c r="M23" s="9"/>
      <c r="N23" s="9"/>
      <c r="O23" s="5">
        <f t="shared" si="5"/>
        <v>6.4061690633752041E-2</v>
      </c>
      <c r="P23" s="9"/>
      <c r="Q23" s="9"/>
    </row>
    <row r="24" spans="1:17" x14ac:dyDescent="0.2">
      <c r="A24" s="10"/>
      <c r="B24" s="5" t="s">
        <v>159</v>
      </c>
      <c r="C24" s="5">
        <v>480.1826075459</v>
      </c>
      <c r="D24" s="5">
        <v>8.9324488862999996</v>
      </c>
      <c r="E24" s="5">
        <v>112.27937910449999</v>
      </c>
      <c r="F24" s="5">
        <v>1006.3551603679</v>
      </c>
      <c r="G24" s="5"/>
      <c r="H24" s="5" t="s">
        <v>159</v>
      </c>
      <c r="I24" s="5">
        <f t="shared" si="3"/>
        <v>0.4771502412432172</v>
      </c>
      <c r="J24" s="9"/>
      <c r="K24" s="9"/>
      <c r="L24" s="5">
        <f t="shared" si="4"/>
        <v>8.876040227224059E-3</v>
      </c>
      <c r="M24" s="9"/>
      <c r="N24" s="9"/>
      <c r="O24" s="5">
        <f t="shared" si="5"/>
        <v>0.11157033175390413</v>
      </c>
      <c r="P24" s="9"/>
      <c r="Q24" s="9"/>
    </row>
    <row r="25" spans="1:17" x14ac:dyDescent="0.2">
      <c r="A25" s="10"/>
      <c r="B25" s="5" t="s">
        <v>158</v>
      </c>
      <c r="C25" s="5">
        <v>748.23699385880002</v>
      </c>
      <c r="D25" s="5">
        <v>94.896425285600003</v>
      </c>
      <c r="E25" s="5">
        <v>82.102493364899999</v>
      </c>
      <c r="F25" s="5">
        <v>992.71303697630003</v>
      </c>
      <c r="G25" s="5"/>
      <c r="H25" s="5" t="s">
        <v>158</v>
      </c>
      <c r="I25" s="5">
        <f t="shared" si="3"/>
        <v>0.75372939206868039</v>
      </c>
      <c r="J25" s="9"/>
      <c r="K25" s="9"/>
      <c r="L25" s="5">
        <f t="shared" si="4"/>
        <v>9.5593008000221871E-2</v>
      </c>
      <c r="M25" s="9"/>
      <c r="N25" s="9"/>
      <c r="O25" s="5">
        <f t="shared" si="5"/>
        <v>8.27051628282989E-2</v>
      </c>
      <c r="P25" s="9"/>
      <c r="Q25" s="9"/>
    </row>
    <row r="26" spans="1:17" x14ac:dyDescent="0.2">
      <c r="A26" s="10"/>
      <c r="B26" s="5" t="s">
        <v>157</v>
      </c>
      <c r="C26" s="5">
        <v>499.96850834629998</v>
      </c>
      <c r="D26" s="5">
        <v>159.993728621</v>
      </c>
      <c r="E26" s="5">
        <v>208.24798610920001</v>
      </c>
      <c r="F26" s="5">
        <v>976.59723619110002</v>
      </c>
      <c r="G26" s="5"/>
      <c r="H26" s="5" t="s">
        <v>157</v>
      </c>
      <c r="I26" s="5">
        <f t="shared" si="3"/>
        <v>0.51194954257321534</v>
      </c>
      <c r="J26" s="9"/>
      <c r="K26" s="9"/>
      <c r="L26" s="5">
        <f t="shared" si="4"/>
        <v>0.1638277507777961</v>
      </c>
      <c r="M26" s="9"/>
      <c r="N26" s="9"/>
      <c r="O26" s="5">
        <f t="shared" si="5"/>
        <v>0.21323835291752777</v>
      </c>
      <c r="P26" s="9"/>
      <c r="Q26" s="9"/>
    </row>
    <row r="28" spans="1:17" x14ac:dyDescent="0.2">
      <c r="A28" s="10" t="s">
        <v>178</v>
      </c>
      <c r="B28" s="5" t="s">
        <v>180</v>
      </c>
      <c r="C28" s="5">
        <v>902.97440142959999</v>
      </c>
      <c r="D28" s="5">
        <v>1061.8683938447</v>
      </c>
      <c r="E28" s="5">
        <v>230.53032733960001</v>
      </c>
      <c r="F28" s="5">
        <v>653.25500758520002</v>
      </c>
      <c r="G28"/>
      <c r="H28" s="5" t="s">
        <v>180</v>
      </c>
      <c r="I28" s="5">
        <f>C28/F28</f>
        <v>1.3822693908884129</v>
      </c>
      <c r="J28" s="9">
        <f>AVERAGE(I28:I32)</f>
        <v>1.0034643060344779</v>
      </c>
      <c r="K28" s="9">
        <v>5.0000000000000001E-3</v>
      </c>
      <c r="L28" s="5">
        <f>D28/F28</f>
        <v>1.6255036417860249</v>
      </c>
      <c r="M28" s="9">
        <f>AVERAGE(L28:L32)</f>
        <v>1.3865194522954634</v>
      </c>
      <c r="N28" s="9">
        <v>1.93E-4</v>
      </c>
      <c r="O28" s="5">
        <f t="shared" ref="O28:O37" si="6">E28/F28</f>
        <v>0.35289484912143343</v>
      </c>
      <c r="P28" s="9">
        <f>AVERAGE(O28:O32)</f>
        <v>0.51443018233040161</v>
      </c>
      <c r="Q28" s="9">
        <v>0.24199999999999999</v>
      </c>
    </row>
    <row r="29" spans="1:17" x14ac:dyDescent="0.2">
      <c r="A29" s="10"/>
      <c r="B29" s="5" t="s">
        <v>181</v>
      </c>
      <c r="C29" s="5">
        <v>944.34530943510003</v>
      </c>
      <c r="D29" s="5">
        <v>1224.8387149512</v>
      </c>
      <c r="E29" s="5">
        <v>416.65592185719998</v>
      </c>
      <c r="F29" s="5">
        <v>721.98247308309999</v>
      </c>
      <c r="G29"/>
      <c r="H29" s="5" t="s">
        <v>181</v>
      </c>
      <c r="I29" s="5">
        <f t="shared" ref="I29:I37" si="7">C29/F29</f>
        <v>1.3079892443959733</v>
      </c>
      <c r="J29" s="9"/>
      <c r="K29" s="9"/>
      <c r="L29" s="5">
        <f t="shared" ref="L29:L37" si="8">D29/F29</f>
        <v>1.6964936970294311</v>
      </c>
      <c r="M29" s="9"/>
      <c r="N29" s="9"/>
      <c r="O29" s="5">
        <f t="shared" si="6"/>
        <v>0.57709977373542554</v>
      </c>
      <c r="P29" s="9"/>
      <c r="Q29" s="9"/>
    </row>
    <row r="30" spans="1:17" x14ac:dyDescent="0.2">
      <c r="A30" s="10"/>
      <c r="B30" s="5" t="s">
        <v>182</v>
      </c>
      <c r="C30" s="5">
        <v>905.97808457730002</v>
      </c>
      <c r="D30" s="5">
        <v>1101.0030920887</v>
      </c>
      <c r="E30" s="5">
        <v>488.65724872570001</v>
      </c>
      <c r="F30" s="5">
        <v>988.3224591943</v>
      </c>
      <c r="G30"/>
      <c r="H30" s="5" t="s">
        <v>182</v>
      </c>
      <c r="I30" s="5">
        <f t="shared" si="7"/>
        <v>0.91668268402589093</v>
      </c>
      <c r="J30" s="9"/>
      <c r="K30" s="9"/>
      <c r="L30" s="5">
        <f t="shared" si="8"/>
        <v>1.1140120128265216</v>
      </c>
      <c r="M30" s="9"/>
      <c r="N30" s="9"/>
      <c r="O30" s="5">
        <f t="shared" si="6"/>
        <v>0.49443098674906472</v>
      </c>
      <c r="P30" s="9"/>
      <c r="Q30" s="9"/>
    </row>
    <row r="31" spans="1:17" x14ac:dyDescent="0.2">
      <c r="A31" s="10"/>
      <c r="B31" s="5" t="s">
        <v>183</v>
      </c>
      <c r="C31" s="5">
        <v>448.8552177272</v>
      </c>
      <c r="D31" s="5">
        <v>1154.7126845819</v>
      </c>
      <c r="E31" s="5">
        <v>462.34726382410003</v>
      </c>
      <c r="F31" s="5">
        <v>897.77962374849994</v>
      </c>
      <c r="G31"/>
      <c r="H31" s="5" t="s">
        <v>183</v>
      </c>
      <c r="I31" s="5">
        <f t="shared" si="7"/>
        <v>0.4999614669946445</v>
      </c>
      <c r="J31" s="9"/>
      <c r="K31" s="9"/>
      <c r="L31" s="5">
        <f t="shared" si="8"/>
        <v>1.2861872268392851</v>
      </c>
      <c r="M31" s="9"/>
      <c r="N31" s="9"/>
      <c r="O31" s="5">
        <f t="shared" si="6"/>
        <v>0.51498970526158871</v>
      </c>
      <c r="P31" s="9"/>
      <c r="Q31" s="9"/>
    </row>
    <row r="32" spans="1:17" x14ac:dyDescent="0.2">
      <c r="A32" s="10"/>
      <c r="B32" s="5" t="s">
        <v>184</v>
      </c>
      <c r="C32" s="5">
        <v>700.71434000789998</v>
      </c>
      <c r="D32" s="5">
        <v>931.59891692010001</v>
      </c>
      <c r="E32" s="5">
        <v>486.99228688649998</v>
      </c>
      <c r="F32" s="5">
        <v>769.66159223750003</v>
      </c>
      <c r="G32"/>
      <c r="H32" s="5" t="s">
        <v>184</v>
      </c>
      <c r="I32" s="5">
        <f t="shared" si="7"/>
        <v>0.91041874386746779</v>
      </c>
      <c r="J32" s="9"/>
      <c r="K32" s="9"/>
      <c r="L32" s="5">
        <f t="shared" si="8"/>
        <v>1.2104006829960534</v>
      </c>
      <c r="M32" s="9"/>
      <c r="N32" s="9"/>
      <c r="O32" s="5">
        <f t="shared" si="6"/>
        <v>0.63273559678449598</v>
      </c>
      <c r="P32" s="9"/>
      <c r="Q32" s="9"/>
    </row>
    <row r="33" spans="1:17" x14ac:dyDescent="0.2">
      <c r="A33" s="10"/>
      <c r="B33" s="5" t="s">
        <v>185</v>
      </c>
      <c r="C33" s="5">
        <v>174.50407841219999</v>
      </c>
      <c r="D33" s="5">
        <v>629.05028628080004</v>
      </c>
      <c r="E33" s="5">
        <v>392.48351834969998</v>
      </c>
      <c r="F33" s="5">
        <v>861.0072935124</v>
      </c>
      <c r="G33"/>
      <c r="H33" s="5" t="s">
        <v>185</v>
      </c>
      <c r="I33" s="5">
        <f t="shared" si="7"/>
        <v>0.20267433240934193</v>
      </c>
      <c r="J33" s="9">
        <f>AVERAGE(I33:I37)</f>
        <v>0.35172908388389595</v>
      </c>
      <c r="K33" s="9"/>
      <c r="L33" s="5">
        <f t="shared" si="8"/>
        <v>0.73059809251399865</v>
      </c>
      <c r="M33" s="9">
        <f>AVERAGE(L33:L37)</f>
        <v>0.49999127456036829</v>
      </c>
      <c r="N33" s="9"/>
      <c r="O33" s="5">
        <f t="shared" si="6"/>
        <v>0.45584226905744268</v>
      </c>
      <c r="P33" s="9">
        <f>AVERAGE(O33:O37)</f>
        <v>0.42984212314858361</v>
      </c>
      <c r="Q33" s="9"/>
    </row>
    <row r="34" spans="1:17" x14ac:dyDescent="0.2">
      <c r="A34" s="10"/>
      <c r="B34" s="5" t="s">
        <v>186</v>
      </c>
      <c r="C34" s="5">
        <v>351.4635004854</v>
      </c>
      <c r="D34" s="5">
        <v>497.9284761733</v>
      </c>
      <c r="E34" s="5">
        <v>272.99314472949999</v>
      </c>
      <c r="F34" s="5">
        <v>877.1183734297</v>
      </c>
      <c r="G34"/>
      <c r="H34" s="5" t="s">
        <v>186</v>
      </c>
      <c r="I34" s="5">
        <f t="shared" si="7"/>
        <v>0.40070247201767162</v>
      </c>
      <c r="J34" s="9"/>
      <c r="K34" s="9"/>
      <c r="L34" s="5">
        <f t="shared" si="8"/>
        <v>0.56768674703085376</v>
      </c>
      <c r="M34" s="9"/>
      <c r="N34" s="9"/>
      <c r="O34" s="5">
        <f t="shared" si="6"/>
        <v>0.31123865717468074</v>
      </c>
      <c r="P34" s="9"/>
      <c r="Q34" s="9"/>
    </row>
    <row r="35" spans="1:17" x14ac:dyDescent="0.2">
      <c r="A35" s="10"/>
      <c r="B35" s="5" t="s">
        <v>187</v>
      </c>
      <c r="C35" s="5">
        <v>174.10251748970001</v>
      </c>
      <c r="D35" s="5">
        <v>390.77939793659999</v>
      </c>
      <c r="E35" s="5">
        <v>481.49133812240001</v>
      </c>
      <c r="F35" s="5">
        <v>808.13822024900003</v>
      </c>
      <c r="G35"/>
      <c r="H35" s="5" t="s">
        <v>187</v>
      </c>
      <c r="I35" s="5">
        <f t="shared" si="7"/>
        <v>0.21543655915204246</v>
      </c>
      <c r="J35" s="9"/>
      <c r="K35" s="9"/>
      <c r="L35" s="5">
        <f t="shared" si="8"/>
        <v>0.4835551495339433</v>
      </c>
      <c r="M35" s="9"/>
      <c r="N35" s="9"/>
      <c r="O35" s="5">
        <f t="shared" si="6"/>
        <v>0.59580320056393943</v>
      </c>
      <c r="P35" s="9"/>
      <c r="Q35" s="9"/>
    </row>
    <row r="36" spans="1:17" x14ac:dyDescent="0.2">
      <c r="A36" s="10"/>
      <c r="B36" s="5" t="s">
        <v>188</v>
      </c>
      <c r="C36" s="5">
        <v>390.17694901300001</v>
      </c>
      <c r="D36" s="5">
        <v>323.14373489529999</v>
      </c>
      <c r="E36" s="5">
        <v>305.3901440212</v>
      </c>
      <c r="F36" s="5">
        <v>760.59709365900005</v>
      </c>
      <c r="G36"/>
      <c r="H36" s="5" t="s">
        <v>188</v>
      </c>
      <c r="I36" s="5">
        <f t="shared" si="7"/>
        <v>0.51298769383403509</v>
      </c>
      <c r="J36" s="9"/>
      <c r="K36" s="9"/>
      <c r="L36" s="5">
        <f t="shared" si="8"/>
        <v>0.42485533745698961</v>
      </c>
      <c r="M36" s="9"/>
      <c r="N36" s="9"/>
      <c r="O36" s="5">
        <f t="shared" si="6"/>
        <v>0.40151368782131602</v>
      </c>
      <c r="P36" s="9"/>
      <c r="Q36" s="9"/>
    </row>
    <row r="37" spans="1:17" x14ac:dyDescent="0.2">
      <c r="A37" s="10"/>
      <c r="B37" s="5" t="s">
        <v>189</v>
      </c>
      <c r="C37" s="5">
        <v>377.35645877730002</v>
      </c>
      <c r="D37" s="5">
        <v>259.26065743520002</v>
      </c>
      <c r="E37" s="5">
        <v>340.19799451569997</v>
      </c>
      <c r="F37" s="5">
        <v>884.06101231729997</v>
      </c>
      <c r="G37"/>
      <c r="H37" s="5" t="s">
        <v>189</v>
      </c>
      <c r="I37" s="5">
        <f t="shared" si="7"/>
        <v>0.42684436200638864</v>
      </c>
      <c r="J37" s="9"/>
      <c r="K37" s="9"/>
      <c r="L37" s="5">
        <f t="shared" si="8"/>
        <v>0.29326104626605598</v>
      </c>
      <c r="M37" s="9"/>
      <c r="N37" s="9"/>
      <c r="O37" s="5">
        <f t="shared" si="6"/>
        <v>0.38481280112553917</v>
      </c>
      <c r="P37" s="9"/>
      <c r="Q37" s="9"/>
    </row>
    <row r="39" spans="1:17" x14ac:dyDescent="0.2">
      <c r="A39" s="10" t="s">
        <v>179</v>
      </c>
      <c r="B39" s="5" t="s">
        <v>180</v>
      </c>
      <c r="C39" s="5">
        <v>549.97913137149999</v>
      </c>
      <c r="D39" s="5">
        <v>430.4016261086</v>
      </c>
      <c r="E39" s="5">
        <v>1513.0259814307999</v>
      </c>
      <c r="F39" s="5">
        <v>1161.6446923495</v>
      </c>
      <c r="G39" s="5"/>
      <c r="H39" s="5" t="s">
        <v>180</v>
      </c>
      <c r="I39" s="5">
        <f>C39/F39</f>
        <v>0.47344866721607648</v>
      </c>
      <c r="J39" s="9">
        <f>AVERAGE(I39:I43)</f>
        <v>0.76222521027618018</v>
      </c>
      <c r="K39" s="9">
        <v>8.9999999999999993E-3</v>
      </c>
      <c r="L39" s="5">
        <f>D39/F39</f>
        <v>0.37051056053816717</v>
      </c>
      <c r="M39" s="9">
        <f>AVERAGE(L39:L43)</f>
        <v>0.32683203221999307</v>
      </c>
      <c r="N39" s="9">
        <v>3.6999999999999999E-4</v>
      </c>
      <c r="O39" s="5">
        <f>E39/F39</f>
        <v>1.3024860281250104</v>
      </c>
      <c r="P39" s="9">
        <f>AVERAGE(O39:O43)</f>
        <v>0.74837810936663007</v>
      </c>
      <c r="Q39" s="9">
        <v>0.23200000000000001</v>
      </c>
    </row>
    <row r="40" spans="1:17" x14ac:dyDescent="0.2">
      <c r="A40" s="10"/>
      <c r="B40" s="5" t="s">
        <v>181</v>
      </c>
      <c r="C40" s="5">
        <v>750.93944246900003</v>
      </c>
      <c r="D40" s="5">
        <v>335.63913194600002</v>
      </c>
      <c r="E40" s="5">
        <v>1094.8132694927999</v>
      </c>
      <c r="F40" s="5">
        <v>1091.7242865804999</v>
      </c>
      <c r="G40" s="5"/>
      <c r="H40" s="5" t="s">
        <v>181</v>
      </c>
      <c r="I40" s="5">
        <f t="shared" ref="I40:I48" si="9">C40/F40</f>
        <v>0.68784715307661926</v>
      </c>
      <c r="J40" s="9"/>
      <c r="K40" s="9"/>
      <c r="L40" s="5">
        <f t="shared" ref="L40:L48" si="10">D40/F40</f>
        <v>0.30743946623857688</v>
      </c>
      <c r="M40" s="9"/>
      <c r="N40" s="9"/>
      <c r="O40" s="5">
        <f t="shared" ref="O40:O48" si="11">E40/F40</f>
        <v>1.0028294533246809</v>
      </c>
      <c r="P40" s="9"/>
      <c r="Q40" s="9"/>
    </row>
    <row r="41" spans="1:17" x14ac:dyDescent="0.2">
      <c r="A41" s="10"/>
      <c r="B41" s="5" t="s">
        <v>182</v>
      </c>
      <c r="C41" s="5">
        <v>889.09945156809999</v>
      </c>
      <c r="D41" s="5">
        <v>289.06923138849999</v>
      </c>
      <c r="E41" s="5">
        <v>472.9510961428</v>
      </c>
      <c r="F41" s="5">
        <v>933.39375000869995</v>
      </c>
      <c r="G41" s="5"/>
      <c r="H41" s="5" t="s">
        <v>182</v>
      </c>
      <c r="I41" s="5">
        <f t="shared" si="9"/>
        <v>0.95254489497043759</v>
      </c>
      <c r="J41" s="9"/>
      <c r="K41" s="9"/>
      <c r="L41" s="5">
        <f t="shared" si="10"/>
        <v>0.30969698627809072</v>
      </c>
      <c r="M41" s="9"/>
      <c r="N41" s="9"/>
      <c r="O41" s="5">
        <f t="shared" si="11"/>
        <v>0.50670051748085065</v>
      </c>
      <c r="P41" s="9"/>
      <c r="Q41" s="9"/>
    </row>
    <row r="42" spans="1:17" x14ac:dyDescent="0.2">
      <c r="A42" s="10"/>
      <c r="B42" s="5" t="s">
        <v>183</v>
      </c>
      <c r="C42" s="5">
        <v>921.05263179960002</v>
      </c>
      <c r="D42" s="5">
        <v>361.78858062440003</v>
      </c>
      <c r="E42" s="5">
        <v>452.39507521320002</v>
      </c>
      <c r="F42" s="5">
        <v>1033.9191376624001</v>
      </c>
      <c r="G42" s="5"/>
      <c r="H42" s="5" t="s">
        <v>183</v>
      </c>
      <c r="I42" s="5">
        <f t="shared" si="9"/>
        <v>0.89083623491293407</v>
      </c>
      <c r="J42" s="9"/>
      <c r="K42" s="9"/>
      <c r="L42" s="5">
        <f t="shared" si="10"/>
        <v>0.34991960922821497</v>
      </c>
      <c r="M42" s="9"/>
      <c r="N42" s="9"/>
      <c r="O42" s="5">
        <f t="shared" si="11"/>
        <v>0.4375536332909219</v>
      </c>
      <c r="P42" s="9"/>
      <c r="Q42" s="9"/>
    </row>
    <row r="43" spans="1:17" x14ac:dyDescent="0.2">
      <c r="A43" s="10"/>
      <c r="B43" s="5" t="s">
        <v>184</v>
      </c>
      <c r="C43" s="5">
        <v>898.85461895180003</v>
      </c>
      <c r="D43" s="5">
        <v>330.57817526060001</v>
      </c>
      <c r="E43" s="5">
        <v>548.73261988160004</v>
      </c>
      <c r="F43" s="5">
        <v>1114.5831988763</v>
      </c>
      <c r="G43" s="5"/>
      <c r="H43" s="5" t="s">
        <v>184</v>
      </c>
      <c r="I43" s="5">
        <f t="shared" si="9"/>
        <v>0.80644910120483326</v>
      </c>
      <c r="J43" s="9"/>
      <c r="K43" s="9"/>
      <c r="L43" s="5">
        <f t="shared" si="10"/>
        <v>0.29659353881691575</v>
      </c>
      <c r="M43" s="9"/>
      <c r="N43" s="9"/>
      <c r="O43" s="5">
        <f t="shared" si="11"/>
        <v>0.4923209146116872</v>
      </c>
      <c r="P43" s="9"/>
      <c r="Q43" s="9"/>
    </row>
    <row r="44" spans="1:17" x14ac:dyDescent="0.2">
      <c r="A44" s="10"/>
      <c r="B44" s="5" t="s">
        <v>185</v>
      </c>
      <c r="C44" s="5">
        <v>390.3469416241</v>
      </c>
      <c r="D44" s="5">
        <v>71.382470418300002</v>
      </c>
      <c r="E44" s="5">
        <v>723.89800417909998</v>
      </c>
      <c r="F44" s="5">
        <v>1103.1004761665999</v>
      </c>
      <c r="G44" s="5"/>
      <c r="H44" s="5" t="s">
        <v>185</v>
      </c>
      <c r="I44" s="5">
        <f t="shared" si="9"/>
        <v>0.35386345129738334</v>
      </c>
      <c r="J44" s="9">
        <f>AVERAGE(I44:I48)</f>
        <v>0.39325665404819105</v>
      </c>
      <c r="K44" s="9"/>
      <c r="L44" s="5">
        <f t="shared" si="10"/>
        <v>6.4710760225906383E-2</v>
      </c>
      <c r="M44" s="9">
        <f>AVERAGE(L44:L48)</f>
        <v>0.15487697408402942</v>
      </c>
      <c r="N44" s="9"/>
      <c r="O44" s="5">
        <f t="shared" si="11"/>
        <v>0.65623940866631492</v>
      </c>
      <c r="P44" s="9">
        <f>AVERAGE(O44:O48)</f>
        <v>0.49104508902994343</v>
      </c>
      <c r="Q44" s="9"/>
    </row>
    <row r="45" spans="1:17" x14ac:dyDescent="0.2">
      <c r="A45" s="10"/>
      <c r="B45" s="5" t="s">
        <v>186</v>
      </c>
      <c r="C45" s="5">
        <v>589.75018864970002</v>
      </c>
      <c r="D45" s="5">
        <v>197.87049502420001</v>
      </c>
      <c r="E45" s="5">
        <v>765.95195004230004</v>
      </c>
      <c r="F45" s="5">
        <v>1269.2512778159</v>
      </c>
      <c r="G45" s="5"/>
      <c r="H45" s="5" t="s">
        <v>186</v>
      </c>
      <c r="I45" s="5">
        <f t="shared" si="9"/>
        <v>0.46464415593461472</v>
      </c>
      <c r="J45" s="9"/>
      <c r="K45" s="9"/>
      <c r="L45" s="5">
        <f t="shared" si="10"/>
        <v>0.15589544677448838</v>
      </c>
      <c r="M45" s="9"/>
      <c r="N45" s="9"/>
      <c r="O45" s="5">
        <f t="shared" si="11"/>
        <v>0.6034675429756774</v>
      </c>
      <c r="P45" s="9"/>
      <c r="Q45" s="9"/>
    </row>
    <row r="46" spans="1:17" x14ac:dyDescent="0.2">
      <c r="A46" s="10"/>
      <c r="B46" s="5" t="s">
        <v>187</v>
      </c>
      <c r="C46" s="5">
        <v>224.0793152471</v>
      </c>
      <c r="D46" s="5">
        <v>161.21018667409999</v>
      </c>
      <c r="E46" s="5">
        <v>659.235784094</v>
      </c>
      <c r="F46" s="5">
        <v>1022.7474928641</v>
      </c>
      <c r="G46" s="5"/>
      <c r="H46" s="5" t="s">
        <v>187</v>
      </c>
      <c r="I46" s="5">
        <f t="shared" si="9"/>
        <v>0.21909544321598751</v>
      </c>
      <c r="J46" s="9"/>
      <c r="K46" s="9"/>
      <c r="L46" s="5">
        <f t="shared" si="10"/>
        <v>0.15762462171639974</v>
      </c>
      <c r="M46" s="9"/>
      <c r="N46" s="9"/>
      <c r="O46" s="5">
        <f t="shared" si="11"/>
        <v>0.64457335627181789</v>
      </c>
      <c r="P46" s="9"/>
      <c r="Q46" s="9"/>
    </row>
    <row r="47" spans="1:17" x14ac:dyDescent="0.2">
      <c r="A47" s="10"/>
      <c r="B47" s="5" t="s">
        <v>188</v>
      </c>
      <c r="C47" s="5">
        <v>461.77835902070001</v>
      </c>
      <c r="D47" s="5">
        <v>316.81602495880003</v>
      </c>
      <c r="E47" s="5">
        <v>346.39653127140002</v>
      </c>
      <c r="F47" s="5">
        <v>1423.1897561247999</v>
      </c>
      <c r="G47" s="5"/>
      <c r="H47" s="5" t="s">
        <v>188</v>
      </c>
      <c r="I47" s="5">
        <f t="shared" si="9"/>
        <v>0.32446717455167412</v>
      </c>
      <c r="J47" s="9"/>
      <c r="K47" s="9"/>
      <c r="L47" s="5">
        <f t="shared" si="10"/>
        <v>0.22260982669061477</v>
      </c>
      <c r="M47" s="9"/>
      <c r="N47" s="9"/>
      <c r="O47" s="5">
        <f t="shared" si="11"/>
        <v>0.24339448044834325</v>
      </c>
      <c r="P47" s="9"/>
      <c r="Q47" s="9"/>
    </row>
    <row r="48" spans="1:17" x14ac:dyDescent="0.2">
      <c r="A48" s="10"/>
      <c r="B48" s="5" t="s">
        <v>189</v>
      </c>
      <c r="C48" s="5">
        <v>719.65175097480005</v>
      </c>
      <c r="D48" s="5">
        <v>206.7009297285</v>
      </c>
      <c r="E48" s="5">
        <v>366.31014575699999</v>
      </c>
      <c r="F48" s="5">
        <v>1191.0562948659999</v>
      </c>
      <c r="G48" s="5"/>
      <c r="H48" s="5" t="s">
        <v>189</v>
      </c>
      <c r="I48" s="5">
        <f t="shared" si="9"/>
        <v>0.60421304524129538</v>
      </c>
      <c r="J48" s="9"/>
      <c r="K48" s="9"/>
      <c r="L48" s="5">
        <f t="shared" si="10"/>
        <v>0.17354421501273787</v>
      </c>
      <c r="M48" s="9"/>
      <c r="N48" s="9"/>
      <c r="O48" s="5">
        <f t="shared" si="11"/>
        <v>0.30755065678756333</v>
      </c>
      <c r="P48" s="9"/>
      <c r="Q48" s="9"/>
    </row>
    <row r="50" spans="1:17" x14ac:dyDescent="0.2">
      <c r="A50" s="10" t="s">
        <v>178</v>
      </c>
      <c r="B50" s="5" t="s">
        <v>190</v>
      </c>
      <c r="C50" s="5">
        <v>79.976944205400002</v>
      </c>
      <c r="D50" s="5">
        <v>587.3589993672</v>
      </c>
      <c r="E50" s="5">
        <v>130.2753812791</v>
      </c>
      <c r="F50" s="5">
        <v>1035.3265431266</v>
      </c>
      <c r="G50"/>
      <c r="H50" s="5" t="s">
        <v>190</v>
      </c>
      <c r="I50" s="5">
        <f>C50/F50</f>
        <v>7.7248038057515928E-2</v>
      </c>
      <c r="J50" s="9">
        <f>AVERAGE(I50:I55)</f>
        <v>0.38173047256553122</v>
      </c>
      <c r="K50" s="9">
        <v>5.5E-2</v>
      </c>
      <c r="L50" s="5">
        <f>D50/F50</f>
        <v>0.56731762869077496</v>
      </c>
      <c r="M50" s="9">
        <f>AVERAGE(L50:L55)</f>
        <v>0.68702876188849038</v>
      </c>
      <c r="N50" s="9">
        <v>1.7000000000000001E-2</v>
      </c>
      <c r="O50" s="5">
        <f>E50/F50</f>
        <v>0.12583023408796146</v>
      </c>
      <c r="P50" s="9">
        <f>AVERAGE(O50:O55)</f>
        <v>0.19720970341295016</v>
      </c>
      <c r="Q50" s="9">
        <v>1E-3</v>
      </c>
    </row>
    <row r="51" spans="1:17" x14ac:dyDescent="0.2">
      <c r="A51" s="10"/>
      <c r="B51" s="5" t="s">
        <v>191</v>
      </c>
      <c r="C51" s="5">
        <v>627.36278939570002</v>
      </c>
      <c r="D51" s="5">
        <v>905.96064865649998</v>
      </c>
      <c r="E51" s="5">
        <v>114.5977665671</v>
      </c>
      <c r="F51" s="5">
        <v>842.99426780659996</v>
      </c>
      <c r="G51"/>
      <c r="H51" s="5" t="s">
        <v>191</v>
      </c>
      <c r="I51" s="5">
        <f t="shared" ref="I51:I61" si="12">C51/F51</f>
        <v>0.74420765757760743</v>
      </c>
      <c r="J51" s="9"/>
      <c r="K51" s="9"/>
      <c r="L51" s="5">
        <f t="shared" ref="L51:L61" si="13">D51/F51</f>
        <v>1.0746937236165712</v>
      </c>
      <c r="M51" s="9"/>
      <c r="N51" s="9"/>
      <c r="O51" s="5">
        <f t="shared" ref="O51:O61" si="14">E51/F51</f>
        <v>0.1359413354793903</v>
      </c>
      <c r="P51" s="9"/>
      <c r="Q51" s="9"/>
    </row>
    <row r="52" spans="1:17" x14ac:dyDescent="0.2">
      <c r="A52" s="10"/>
      <c r="B52" s="5" t="s">
        <v>192</v>
      </c>
      <c r="C52" s="5">
        <v>300.38086653400001</v>
      </c>
      <c r="D52" s="5">
        <v>652.3438676815</v>
      </c>
      <c r="E52" s="5">
        <v>249.2155518207</v>
      </c>
      <c r="F52" s="5">
        <v>836.24587629179996</v>
      </c>
      <c r="G52"/>
      <c r="H52" s="5" t="s">
        <v>192</v>
      </c>
      <c r="I52" s="5">
        <f t="shared" si="12"/>
        <v>0.35920161169103931</v>
      </c>
      <c r="J52" s="9"/>
      <c r="K52" s="9"/>
      <c r="L52" s="5">
        <f t="shared" si="13"/>
        <v>0.78008619973615378</v>
      </c>
      <c r="M52" s="9"/>
      <c r="N52" s="9"/>
      <c r="O52" s="5">
        <f t="shared" si="14"/>
        <v>0.29801707713741671</v>
      </c>
      <c r="P52" s="9"/>
      <c r="Q52" s="9"/>
    </row>
    <row r="53" spans="1:17" x14ac:dyDescent="0.2">
      <c r="A53" s="10"/>
      <c r="B53" s="5" t="s">
        <v>193</v>
      </c>
      <c r="C53" s="5">
        <v>537.69664466339998</v>
      </c>
      <c r="D53" s="5">
        <v>813.41003543869999</v>
      </c>
      <c r="E53" s="5">
        <v>214.07784758259999</v>
      </c>
      <c r="F53" s="5">
        <v>1015.7123846822</v>
      </c>
      <c r="G53"/>
      <c r="H53" s="5" t="s">
        <v>193</v>
      </c>
      <c r="I53" s="5">
        <f t="shared" si="12"/>
        <v>0.52937884067608032</v>
      </c>
      <c r="J53" s="9"/>
      <c r="K53" s="9"/>
      <c r="L53" s="5">
        <f t="shared" si="13"/>
        <v>0.80082713148486706</v>
      </c>
      <c r="M53" s="9"/>
      <c r="N53" s="9"/>
      <c r="O53" s="5">
        <f t="shared" si="14"/>
        <v>0.21076620784690098</v>
      </c>
      <c r="P53" s="9"/>
      <c r="Q53" s="9"/>
    </row>
    <row r="54" spans="1:17" x14ac:dyDescent="0.2">
      <c r="A54" s="10"/>
      <c r="B54" s="5" t="s">
        <v>194</v>
      </c>
      <c r="C54" s="5">
        <v>297.53611716850003</v>
      </c>
      <c r="D54" s="5">
        <v>450.17434819980002</v>
      </c>
      <c r="E54" s="5">
        <v>117.7780826435</v>
      </c>
      <c r="F54" s="5">
        <v>954.35752864050005</v>
      </c>
      <c r="G54"/>
      <c r="H54" s="5" t="s">
        <v>194</v>
      </c>
      <c r="I54" s="5">
        <f t="shared" si="12"/>
        <v>0.31176588253287607</v>
      </c>
      <c r="J54" s="9"/>
      <c r="K54" s="9"/>
      <c r="L54" s="5">
        <f t="shared" si="13"/>
        <v>0.47170408855167906</v>
      </c>
      <c r="M54" s="9"/>
      <c r="N54" s="9"/>
      <c r="O54" s="5">
        <f t="shared" si="14"/>
        <v>0.12341085925237794</v>
      </c>
      <c r="P54" s="9"/>
      <c r="Q54" s="9"/>
    </row>
    <row r="55" spans="1:17" x14ac:dyDescent="0.2">
      <c r="A55" s="10"/>
      <c r="B55" s="5" t="s">
        <v>195</v>
      </c>
      <c r="C55" s="5">
        <v>285.5753694279</v>
      </c>
      <c r="D55" s="5">
        <v>454.5968148476</v>
      </c>
      <c r="E55" s="5">
        <v>307.59761297799997</v>
      </c>
      <c r="F55" s="5">
        <v>1063.2754249836</v>
      </c>
      <c r="G55"/>
      <c r="H55" s="5" t="s">
        <v>195</v>
      </c>
      <c r="I55" s="5">
        <f t="shared" si="12"/>
        <v>0.2685808048580684</v>
      </c>
      <c r="J55" s="9"/>
      <c r="K55" s="9"/>
      <c r="L55" s="5">
        <f t="shared" si="13"/>
        <v>0.42754379925089653</v>
      </c>
      <c r="M55" s="9"/>
      <c r="N55" s="9"/>
      <c r="O55" s="5">
        <f t="shared" si="14"/>
        <v>0.28929250667365358</v>
      </c>
      <c r="P55" s="9"/>
      <c r="Q55" s="9"/>
    </row>
    <row r="56" spans="1:17" x14ac:dyDescent="0.2">
      <c r="A56" s="10"/>
      <c r="B56" s="5" t="s">
        <v>196</v>
      </c>
      <c r="C56" s="5">
        <v>656.51834738720004</v>
      </c>
      <c r="D56" s="5">
        <v>1423.2763269229999</v>
      </c>
      <c r="E56" s="5">
        <v>530.59157167420005</v>
      </c>
      <c r="F56" s="5">
        <v>1002.5100230477</v>
      </c>
      <c r="G56"/>
      <c r="H56" s="5" t="s">
        <v>196</v>
      </c>
      <c r="I56" s="5">
        <f t="shared" si="12"/>
        <v>0.65487459705523821</v>
      </c>
      <c r="J56" s="9">
        <f>AVERAGE(I56:I61)</f>
        <v>0.62682690570393629</v>
      </c>
      <c r="K56" s="9"/>
      <c r="L56" s="5">
        <f t="shared" si="13"/>
        <v>1.4197128150361442</v>
      </c>
      <c r="M56" s="9">
        <f>AVERAGE(L56:L61)</f>
        <v>1.2480502245384122</v>
      </c>
      <c r="N56" s="9"/>
      <c r="O56" s="5">
        <f t="shared" si="14"/>
        <v>0.5292631090721317</v>
      </c>
      <c r="P56" s="9">
        <f>AVERAGE(O56:O61)</f>
        <v>0.57459943405636293</v>
      </c>
      <c r="Q56" s="9"/>
    </row>
    <row r="57" spans="1:17" x14ac:dyDescent="0.2">
      <c r="A57" s="10"/>
      <c r="B57" s="5" t="s">
        <v>197</v>
      </c>
      <c r="C57" s="5">
        <v>697.96589245790005</v>
      </c>
      <c r="D57" s="5">
        <v>763.67285754229999</v>
      </c>
      <c r="E57" s="5">
        <v>477.40218767959999</v>
      </c>
      <c r="F57" s="5">
        <v>1055.5207230522001</v>
      </c>
      <c r="G57"/>
      <c r="H57" s="5" t="s">
        <v>197</v>
      </c>
      <c r="I57" s="5">
        <f t="shared" si="12"/>
        <v>0.6612526663044801</v>
      </c>
      <c r="J57" s="9"/>
      <c r="K57" s="9"/>
      <c r="L57" s="5">
        <f t="shared" si="13"/>
        <v>0.7235034242947147</v>
      </c>
      <c r="M57" s="9"/>
      <c r="N57" s="9"/>
      <c r="O57" s="5">
        <f t="shared" si="14"/>
        <v>0.45229068198596645</v>
      </c>
      <c r="P57" s="9"/>
      <c r="Q57" s="9"/>
    </row>
    <row r="58" spans="1:17" x14ac:dyDescent="0.2">
      <c r="A58" s="10"/>
      <c r="B58" s="5" t="s">
        <v>198</v>
      </c>
      <c r="C58" s="5">
        <v>767.09197023809998</v>
      </c>
      <c r="D58" s="5">
        <v>1748.8602149769999</v>
      </c>
      <c r="E58" s="5">
        <v>826.64482465380001</v>
      </c>
      <c r="F58" s="5">
        <v>1175.5465606222999</v>
      </c>
      <c r="G58"/>
      <c r="H58" s="5" t="s">
        <v>198</v>
      </c>
      <c r="I58" s="5">
        <f t="shared" si="12"/>
        <v>0.65254069548042737</v>
      </c>
      <c r="J58" s="9"/>
      <c r="K58" s="9"/>
      <c r="L58" s="5">
        <f t="shared" si="13"/>
        <v>1.4876996569588912</v>
      </c>
      <c r="M58" s="9"/>
      <c r="N58" s="9"/>
      <c r="O58" s="5">
        <f t="shared" si="14"/>
        <v>0.70320041106342779</v>
      </c>
      <c r="P58" s="9"/>
      <c r="Q58" s="9"/>
    </row>
    <row r="59" spans="1:17" x14ac:dyDescent="0.2">
      <c r="A59" s="10"/>
      <c r="B59" s="5" t="s">
        <v>199</v>
      </c>
      <c r="C59" s="5">
        <v>430.91022936669998</v>
      </c>
      <c r="D59" s="5">
        <v>1236.3758827564</v>
      </c>
      <c r="E59" s="5">
        <v>495.41909476529997</v>
      </c>
      <c r="F59" s="5">
        <v>936.23072260469996</v>
      </c>
      <c r="G59"/>
      <c r="H59" s="5" t="s">
        <v>199</v>
      </c>
      <c r="I59" s="5">
        <f t="shared" si="12"/>
        <v>0.46026072309169569</v>
      </c>
      <c r="J59" s="9"/>
      <c r="K59" s="9"/>
      <c r="L59" s="5">
        <f t="shared" si="13"/>
        <v>1.3205888814636013</v>
      </c>
      <c r="M59" s="9"/>
      <c r="N59" s="9"/>
      <c r="O59" s="5">
        <f t="shared" si="14"/>
        <v>0.52916346665807756</v>
      </c>
      <c r="P59" s="9"/>
      <c r="Q59" s="9"/>
    </row>
    <row r="60" spans="1:17" x14ac:dyDescent="0.2">
      <c r="A60" s="10"/>
      <c r="B60" s="5" t="s">
        <v>200</v>
      </c>
      <c r="C60" s="5">
        <v>657.31201836380001</v>
      </c>
      <c r="D60" s="5">
        <v>1325.2761932069</v>
      </c>
      <c r="E60" s="5">
        <v>629.96211521780003</v>
      </c>
      <c r="F60" s="5">
        <v>752.92306857870005</v>
      </c>
      <c r="G60"/>
      <c r="H60" s="5" t="s">
        <v>200</v>
      </c>
      <c r="I60" s="5">
        <f t="shared" si="12"/>
        <v>0.87301351996640786</v>
      </c>
      <c r="J60" s="9"/>
      <c r="K60" s="9"/>
      <c r="L60" s="5">
        <f t="shared" si="13"/>
        <v>1.7601747755034738</v>
      </c>
      <c r="M60" s="9"/>
      <c r="N60" s="9"/>
      <c r="O60" s="5">
        <f t="shared" si="14"/>
        <v>0.8366885562518166</v>
      </c>
      <c r="P60" s="9"/>
      <c r="Q60" s="9"/>
    </row>
    <row r="61" spans="1:17" x14ac:dyDescent="0.2">
      <c r="A61" s="10"/>
      <c r="B61" s="5" t="s">
        <v>201</v>
      </c>
      <c r="C61" s="5">
        <v>612.49682286020004</v>
      </c>
      <c r="D61" s="5">
        <v>1036.2929216780001</v>
      </c>
      <c r="E61" s="5">
        <v>529.72801335500003</v>
      </c>
      <c r="F61" s="5">
        <v>1334.3598257470001</v>
      </c>
      <c r="G61"/>
      <c r="H61" s="5" t="s">
        <v>201</v>
      </c>
      <c r="I61" s="5">
        <f t="shared" si="12"/>
        <v>0.45901923232536818</v>
      </c>
      <c r="J61" s="9"/>
      <c r="K61" s="9"/>
      <c r="L61" s="5">
        <f t="shared" si="13"/>
        <v>0.77662179397364839</v>
      </c>
      <c r="M61" s="9"/>
      <c r="N61" s="9"/>
      <c r="O61" s="5">
        <f t="shared" si="14"/>
        <v>0.39699037930675724</v>
      </c>
      <c r="P61" s="9"/>
      <c r="Q61" s="9"/>
    </row>
    <row r="63" spans="1:17" x14ac:dyDescent="0.2">
      <c r="A63" s="10" t="s">
        <v>179</v>
      </c>
      <c r="B63" s="5" t="s">
        <v>190</v>
      </c>
      <c r="C63" s="5">
        <v>26.300816564400002</v>
      </c>
      <c r="D63" s="5">
        <v>344.85312561329999</v>
      </c>
      <c r="E63" s="5">
        <v>42.872445607499998</v>
      </c>
      <c r="F63" s="5">
        <v>537.14985604109995</v>
      </c>
      <c r="G63" s="5"/>
      <c r="H63" s="5" t="s">
        <v>190</v>
      </c>
      <c r="I63" s="5">
        <f>C63/F63</f>
        <v>4.896364816746334E-2</v>
      </c>
      <c r="J63" s="9">
        <f>AVERAGE(I63:I68)</f>
        <v>0.42335088350271982</v>
      </c>
      <c r="K63" s="9">
        <v>4.1000000000000002E-2</v>
      </c>
      <c r="L63" s="5">
        <f>D63/F63</f>
        <v>0.6420054324410237</v>
      </c>
      <c r="M63" s="9">
        <f>AVERAGE(L63:L68)</f>
        <v>0.69159607759292774</v>
      </c>
      <c r="N63" s="9">
        <v>6.0000000000000002E-6</v>
      </c>
      <c r="O63" s="5">
        <f>E63/F63</f>
        <v>7.981468323100438E-2</v>
      </c>
      <c r="P63" s="9">
        <f>AVERAGE(O63:O68)</f>
        <v>0.47007014339385617</v>
      </c>
      <c r="Q63" s="9">
        <v>4.0000000000000001E-3</v>
      </c>
    </row>
    <row r="64" spans="1:17" x14ac:dyDescent="0.2">
      <c r="A64" s="10"/>
      <c r="B64" s="5" t="s">
        <v>191</v>
      </c>
      <c r="C64" s="5">
        <v>437.6135155938</v>
      </c>
      <c r="D64" s="5">
        <v>386.59916187049998</v>
      </c>
      <c r="E64" s="5">
        <v>387.37822441579999</v>
      </c>
      <c r="F64" s="5">
        <v>770.08571698799994</v>
      </c>
      <c r="G64" s="5"/>
      <c r="H64" s="5" t="s">
        <v>191</v>
      </c>
      <c r="I64" s="5">
        <f t="shared" ref="I64:I74" si="15">C64/F64</f>
        <v>0.56826598122793026</v>
      </c>
      <c r="J64" s="9"/>
      <c r="K64" s="9"/>
      <c r="L64" s="5">
        <f t="shared" ref="L64:L74" si="16">D64/F64</f>
        <v>0.50202094824273213</v>
      </c>
      <c r="M64" s="9"/>
      <c r="N64" s="9"/>
      <c r="O64" s="5">
        <f t="shared" ref="O64:O74" si="17">E64/F64</f>
        <v>0.50303260516366177</v>
      </c>
      <c r="P64" s="9"/>
      <c r="Q64" s="9"/>
    </row>
    <row r="65" spans="1:17" x14ac:dyDescent="0.2">
      <c r="A65" s="10"/>
      <c r="B65" s="5" t="s">
        <v>192</v>
      </c>
      <c r="C65" s="5">
        <v>79.900778582900003</v>
      </c>
      <c r="D65" s="5">
        <v>609.89961164040005</v>
      </c>
      <c r="E65" s="5">
        <v>431.4881806345</v>
      </c>
      <c r="F65" s="5">
        <v>780.96506806549996</v>
      </c>
      <c r="G65" s="5"/>
      <c r="H65" s="5" t="s">
        <v>192</v>
      </c>
      <c r="I65" s="5">
        <f t="shared" si="15"/>
        <v>0.1023103104737057</v>
      </c>
      <c r="J65" s="9"/>
      <c r="K65" s="9"/>
      <c r="L65" s="5">
        <f t="shared" si="16"/>
        <v>0.78095632772815315</v>
      </c>
      <c r="M65" s="9"/>
      <c r="N65" s="9"/>
      <c r="O65" s="5">
        <f t="shared" si="17"/>
        <v>0.55250637740215913</v>
      </c>
      <c r="P65" s="9"/>
      <c r="Q65" s="9"/>
    </row>
    <row r="66" spans="1:17" x14ac:dyDescent="0.2">
      <c r="A66" s="10"/>
      <c r="B66" s="5" t="s">
        <v>193</v>
      </c>
      <c r="C66" s="5">
        <v>440.02232086190003</v>
      </c>
      <c r="D66" s="5">
        <v>535.02950172349995</v>
      </c>
      <c r="E66" s="5">
        <v>346.89087651429998</v>
      </c>
      <c r="F66" s="5">
        <v>754.74847069789996</v>
      </c>
      <c r="G66" s="5"/>
      <c r="H66" s="5" t="s">
        <v>193</v>
      </c>
      <c r="I66" s="5">
        <f t="shared" si="15"/>
        <v>0.5830052500206071</v>
      </c>
      <c r="J66" s="9"/>
      <c r="K66" s="9"/>
      <c r="L66" s="5">
        <f t="shared" si="16"/>
        <v>0.70888451251682494</v>
      </c>
      <c r="M66" s="9"/>
      <c r="N66" s="9"/>
      <c r="O66" s="5">
        <f t="shared" si="17"/>
        <v>0.45961123471179388</v>
      </c>
      <c r="P66" s="9"/>
      <c r="Q66" s="9"/>
    </row>
    <row r="67" spans="1:17" x14ac:dyDescent="0.2">
      <c r="A67" s="10"/>
      <c r="B67" s="5" t="s">
        <v>194</v>
      </c>
      <c r="C67" s="5">
        <v>785.55365538490003</v>
      </c>
      <c r="D67" s="5">
        <v>739.62845146220002</v>
      </c>
      <c r="E67" s="5">
        <v>552.06512372860004</v>
      </c>
      <c r="F67" s="5">
        <v>789.30955815059997</v>
      </c>
      <c r="G67" s="5"/>
      <c r="H67" s="5" t="s">
        <v>194</v>
      </c>
      <c r="I67" s="5">
        <f t="shared" si="15"/>
        <v>0.9952415339116123</v>
      </c>
      <c r="J67" s="9"/>
      <c r="K67" s="9"/>
      <c r="L67" s="5">
        <f t="shared" si="16"/>
        <v>0.93705751289163941</v>
      </c>
      <c r="M67" s="9"/>
      <c r="N67" s="9"/>
      <c r="O67" s="5">
        <f t="shared" si="17"/>
        <v>0.69942789622631962</v>
      </c>
      <c r="P67" s="9"/>
      <c r="Q67" s="9"/>
    </row>
    <row r="68" spans="1:17" x14ac:dyDescent="0.2">
      <c r="A68" s="10"/>
      <c r="B68" s="5" t="s">
        <v>195</v>
      </c>
      <c r="C68" s="5">
        <v>155.9034814968</v>
      </c>
      <c r="D68" s="5">
        <v>372.2942771818</v>
      </c>
      <c r="E68" s="5">
        <v>338.43714100339997</v>
      </c>
      <c r="F68" s="5">
        <v>643.38229156269995</v>
      </c>
      <c r="G68" s="5"/>
      <c r="H68" s="5" t="s">
        <v>195</v>
      </c>
      <c r="I68" s="5">
        <f t="shared" si="15"/>
        <v>0.24231857721500039</v>
      </c>
      <c r="J68" s="9"/>
      <c r="K68" s="9"/>
      <c r="L68" s="5">
        <f t="shared" si="16"/>
        <v>0.57865173173719309</v>
      </c>
      <c r="M68" s="9"/>
      <c r="N68" s="9"/>
      <c r="O68" s="5">
        <f t="shared" si="17"/>
        <v>0.52602806362819832</v>
      </c>
      <c r="P68" s="9"/>
      <c r="Q68" s="9"/>
    </row>
    <row r="69" spans="1:17" x14ac:dyDescent="0.2">
      <c r="A69" s="10"/>
      <c r="B69" s="5" t="s">
        <v>196</v>
      </c>
      <c r="C69" s="5">
        <v>887.70063611199998</v>
      </c>
      <c r="D69" s="5">
        <v>1423.3457118952001</v>
      </c>
      <c r="E69" s="5">
        <v>744.16089007940002</v>
      </c>
      <c r="F69" s="5">
        <v>814.29103246160003</v>
      </c>
      <c r="G69" s="5"/>
      <c r="H69" s="5" t="s">
        <v>196</v>
      </c>
      <c r="I69" s="5">
        <f t="shared" si="15"/>
        <v>1.0901515560456105</v>
      </c>
      <c r="J69" s="9">
        <f>AVERAGE(I69:I74)</f>
        <v>0.80051426007979332</v>
      </c>
      <c r="K69" s="9"/>
      <c r="L69" s="5">
        <f t="shared" si="16"/>
        <v>1.7479570020468347</v>
      </c>
      <c r="M69" s="9">
        <f>AVERAGE(L69:L74)</f>
        <v>1.6272783129758868</v>
      </c>
      <c r="N69" s="9"/>
      <c r="O69" s="5">
        <f t="shared" si="17"/>
        <v>0.91387582622616292</v>
      </c>
      <c r="P69" s="9">
        <f>AVERAGE(O69:O74)</f>
        <v>0.82454759807271349</v>
      </c>
      <c r="Q69" s="9"/>
    </row>
    <row r="70" spans="1:17" x14ac:dyDescent="0.2">
      <c r="A70" s="10"/>
      <c r="B70" s="5" t="s">
        <v>197</v>
      </c>
      <c r="C70" s="5">
        <v>607.6645793463</v>
      </c>
      <c r="D70" s="5">
        <v>1343.6912325081</v>
      </c>
      <c r="E70" s="5">
        <v>823.75808826030004</v>
      </c>
      <c r="F70" s="5">
        <v>877.29814072470003</v>
      </c>
      <c r="G70" s="5"/>
      <c r="H70" s="5" t="s">
        <v>197</v>
      </c>
      <c r="I70" s="5">
        <f t="shared" si="15"/>
        <v>0.69265458472798447</v>
      </c>
      <c r="J70" s="9"/>
      <c r="K70" s="9"/>
      <c r="L70" s="5">
        <f t="shared" si="16"/>
        <v>1.5316243932742544</v>
      </c>
      <c r="M70" s="9"/>
      <c r="N70" s="9"/>
      <c r="O70" s="5">
        <f t="shared" si="17"/>
        <v>0.93897165629443513</v>
      </c>
      <c r="P70" s="9"/>
      <c r="Q70" s="9"/>
    </row>
    <row r="71" spans="1:17" x14ac:dyDescent="0.2">
      <c r="A71" s="10"/>
      <c r="B71" s="5" t="s">
        <v>198</v>
      </c>
      <c r="C71" s="5">
        <v>700.55462684240001</v>
      </c>
      <c r="D71" s="5">
        <v>1079.7226087908</v>
      </c>
      <c r="E71" s="5">
        <v>606.30391916370002</v>
      </c>
      <c r="F71" s="5">
        <v>803.4640728288</v>
      </c>
      <c r="G71" s="5"/>
      <c r="H71" s="5" t="s">
        <v>198</v>
      </c>
      <c r="I71" s="5">
        <f t="shared" si="15"/>
        <v>0.87191780010264675</v>
      </c>
      <c r="J71" s="9"/>
      <c r="K71" s="9"/>
      <c r="L71" s="5">
        <f t="shared" si="16"/>
        <v>1.3438343359764195</v>
      </c>
      <c r="M71" s="9"/>
      <c r="N71" s="9"/>
      <c r="O71" s="5">
        <f t="shared" si="17"/>
        <v>0.75461235874437116</v>
      </c>
      <c r="P71" s="9"/>
      <c r="Q71" s="9"/>
    </row>
    <row r="72" spans="1:17" x14ac:dyDescent="0.2">
      <c r="A72" s="10"/>
      <c r="B72" s="5" t="s">
        <v>199</v>
      </c>
      <c r="C72" s="5">
        <v>620.93705031529998</v>
      </c>
      <c r="D72" s="5">
        <v>1369.7963173682999</v>
      </c>
      <c r="E72" s="5">
        <v>650.1930988414</v>
      </c>
      <c r="F72" s="5">
        <v>798.96987809439997</v>
      </c>
      <c r="G72" s="5"/>
      <c r="H72" s="5" t="s">
        <v>199</v>
      </c>
      <c r="I72" s="5">
        <f t="shared" si="15"/>
        <v>0.77717204032307086</v>
      </c>
      <c r="J72" s="9"/>
      <c r="K72" s="9"/>
      <c r="L72" s="5">
        <f t="shared" si="16"/>
        <v>1.7144530162205385</v>
      </c>
      <c r="M72" s="9"/>
      <c r="N72" s="9"/>
      <c r="O72" s="5">
        <f t="shared" si="17"/>
        <v>0.81378925121952883</v>
      </c>
      <c r="P72" s="9"/>
      <c r="Q72" s="9"/>
    </row>
    <row r="73" spans="1:17" x14ac:dyDescent="0.2">
      <c r="A73" s="10"/>
      <c r="B73" s="5" t="s">
        <v>200</v>
      </c>
      <c r="C73" s="5">
        <v>649.61159351849994</v>
      </c>
      <c r="D73" s="5">
        <v>1796.4483696305001</v>
      </c>
      <c r="E73" s="5">
        <v>777.64229709999995</v>
      </c>
      <c r="F73" s="5">
        <v>923.05032009249999</v>
      </c>
      <c r="G73" s="5"/>
      <c r="H73" s="5" t="s">
        <v>200</v>
      </c>
      <c r="I73" s="5">
        <f t="shared" si="15"/>
        <v>0.7037661754490282</v>
      </c>
      <c r="J73" s="9"/>
      <c r="K73" s="9"/>
      <c r="L73" s="5">
        <f t="shared" si="16"/>
        <v>1.9462084899666963</v>
      </c>
      <c r="M73" s="9"/>
      <c r="N73" s="9"/>
      <c r="O73" s="5">
        <f t="shared" si="17"/>
        <v>0.84247010176224357</v>
      </c>
      <c r="P73" s="9"/>
      <c r="Q73" s="9"/>
    </row>
    <row r="74" spans="1:17" x14ac:dyDescent="0.2">
      <c r="A74" s="10"/>
      <c r="B74" s="5" t="s">
        <v>201</v>
      </c>
      <c r="C74" s="5">
        <v>703.37511209189995</v>
      </c>
      <c r="D74" s="5">
        <v>1559.2929964671</v>
      </c>
      <c r="E74" s="5">
        <v>720.38766752250001</v>
      </c>
      <c r="F74" s="5">
        <v>1053.8664183113001</v>
      </c>
      <c r="G74" s="5"/>
      <c r="H74" s="5" t="s">
        <v>201</v>
      </c>
      <c r="I74" s="5">
        <f t="shared" si="15"/>
        <v>0.66742340383041887</v>
      </c>
      <c r="J74" s="9"/>
      <c r="K74" s="9"/>
      <c r="L74" s="5">
        <f t="shared" si="16"/>
        <v>1.4795926403705775</v>
      </c>
      <c r="M74" s="9"/>
      <c r="N74" s="9"/>
      <c r="O74" s="5">
        <f t="shared" si="17"/>
        <v>0.68356639418953924</v>
      </c>
      <c r="P74" s="9"/>
      <c r="Q74" s="9"/>
    </row>
  </sheetData>
  <mergeCells count="60">
    <mergeCell ref="N2:N13"/>
    <mergeCell ref="Q2:Q13"/>
    <mergeCell ref="J2:J7"/>
    <mergeCell ref="J8:J13"/>
    <mergeCell ref="M2:M7"/>
    <mergeCell ref="M8:M13"/>
    <mergeCell ref="P2:P7"/>
    <mergeCell ref="P8:P13"/>
    <mergeCell ref="N15:N26"/>
    <mergeCell ref="P15:P20"/>
    <mergeCell ref="Q15:Q26"/>
    <mergeCell ref="J21:J26"/>
    <mergeCell ref="M21:M26"/>
    <mergeCell ref="P21:P26"/>
    <mergeCell ref="A2:A13"/>
    <mergeCell ref="A15:A26"/>
    <mergeCell ref="J15:J20"/>
    <mergeCell ref="K15:K26"/>
    <mergeCell ref="M15:M20"/>
    <mergeCell ref="K2:K13"/>
    <mergeCell ref="Q28:Q37"/>
    <mergeCell ref="J33:J37"/>
    <mergeCell ref="M33:M37"/>
    <mergeCell ref="P33:P37"/>
    <mergeCell ref="A28:A37"/>
    <mergeCell ref="J28:J32"/>
    <mergeCell ref="K28:K37"/>
    <mergeCell ref="M28:M32"/>
    <mergeCell ref="N28:N37"/>
    <mergeCell ref="P28:P32"/>
    <mergeCell ref="Q39:Q48"/>
    <mergeCell ref="J44:J48"/>
    <mergeCell ref="M44:M48"/>
    <mergeCell ref="P44:P48"/>
    <mergeCell ref="A39:A48"/>
    <mergeCell ref="J39:J43"/>
    <mergeCell ref="K39:K48"/>
    <mergeCell ref="M39:M43"/>
    <mergeCell ref="N39:N48"/>
    <mergeCell ref="P39:P43"/>
    <mergeCell ref="Q50:Q61"/>
    <mergeCell ref="J56:J61"/>
    <mergeCell ref="M56:M61"/>
    <mergeCell ref="P56:P61"/>
    <mergeCell ref="A50:A61"/>
    <mergeCell ref="J50:J55"/>
    <mergeCell ref="K50:K61"/>
    <mergeCell ref="M50:M55"/>
    <mergeCell ref="N50:N61"/>
    <mergeCell ref="P50:P55"/>
    <mergeCell ref="Q63:Q74"/>
    <mergeCell ref="J69:J74"/>
    <mergeCell ref="M69:M74"/>
    <mergeCell ref="P69:P74"/>
    <mergeCell ref="A63:A74"/>
    <mergeCell ref="J63:J68"/>
    <mergeCell ref="K63:K74"/>
    <mergeCell ref="M63:M68"/>
    <mergeCell ref="N63:N74"/>
    <mergeCell ref="P63:P68"/>
  </mergeCells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915E-D212-5D44-98B3-A146368328BD}">
  <dimension ref="A1:G25"/>
  <sheetViews>
    <sheetView tabSelected="1" workbookViewId="0">
      <selection activeCell="C13" sqref="C13"/>
    </sheetView>
  </sheetViews>
  <sheetFormatPr baseColWidth="10" defaultRowHeight="15" x14ac:dyDescent="0.2"/>
  <sheetData>
    <row r="1" spans="1:7" x14ac:dyDescent="0.2">
      <c r="A1" t="s">
        <v>266</v>
      </c>
      <c r="B1" t="s">
        <v>267</v>
      </c>
      <c r="C1" s="3" t="s">
        <v>265</v>
      </c>
      <c r="D1" s="3" t="s">
        <v>177</v>
      </c>
      <c r="E1" s="3" t="s">
        <v>176</v>
      </c>
      <c r="F1" s="3" t="s">
        <v>175</v>
      </c>
      <c r="G1" s="3" t="s">
        <v>174</v>
      </c>
    </row>
    <row r="2" spans="1:7" x14ac:dyDescent="0.2">
      <c r="A2" s="3" t="s">
        <v>168</v>
      </c>
      <c r="B2" t="s">
        <v>269</v>
      </c>
      <c r="C2" t="s">
        <v>263</v>
      </c>
      <c r="D2" s="3">
        <v>550.51159355009997</v>
      </c>
      <c r="E2" s="3">
        <v>1499.4935124883</v>
      </c>
      <c r="F2" s="3">
        <v>431.22524799730002</v>
      </c>
      <c r="G2" s="3">
        <v>834.14106485740001</v>
      </c>
    </row>
    <row r="3" spans="1:7" x14ac:dyDescent="0.2">
      <c r="A3" s="3" t="s">
        <v>167</v>
      </c>
      <c r="B3" t="s">
        <v>269</v>
      </c>
      <c r="C3" t="s">
        <v>263</v>
      </c>
      <c r="D3" s="3">
        <v>1064.0903196171</v>
      </c>
      <c r="E3" s="3">
        <v>1504.2497756808</v>
      </c>
      <c r="F3" s="3">
        <v>501.64294234689999</v>
      </c>
      <c r="G3" s="3">
        <v>927.55712330380004</v>
      </c>
    </row>
    <row r="4" spans="1:7" x14ac:dyDescent="0.2">
      <c r="A4" s="3" t="s">
        <v>166</v>
      </c>
      <c r="B4" t="s">
        <v>269</v>
      </c>
      <c r="C4" t="s">
        <v>263</v>
      </c>
      <c r="D4" s="3">
        <v>1204.0980156147</v>
      </c>
      <c r="E4" s="3">
        <v>1862.7419131183999</v>
      </c>
      <c r="F4" s="3">
        <v>713.00933389620002</v>
      </c>
      <c r="G4" s="3">
        <v>918.19259773509998</v>
      </c>
    </row>
    <row r="5" spans="1:7" x14ac:dyDescent="0.2">
      <c r="A5" s="3" t="s">
        <v>165</v>
      </c>
      <c r="B5" t="s">
        <v>269</v>
      </c>
      <c r="C5" t="s">
        <v>263</v>
      </c>
      <c r="D5" s="3">
        <v>1067.7543884565</v>
      </c>
      <c r="E5" s="3">
        <v>1316.7949414935999</v>
      </c>
      <c r="F5" s="3">
        <v>628.7911014105</v>
      </c>
      <c r="G5" s="3">
        <v>837.65120763380003</v>
      </c>
    </row>
    <row r="6" spans="1:7" x14ac:dyDescent="0.2">
      <c r="A6" s="3" t="s">
        <v>164</v>
      </c>
      <c r="B6" t="s">
        <v>269</v>
      </c>
      <c r="C6" t="s">
        <v>263</v>
      </c>
      <c r="D6" s="3">
        <v>1301.466295809</v>
      </c>
      <c r="E6" s="3">
        <v>1544.3858986871001</v>
      </c>
      <c r="F6" s="3">
        <v>935.06996274170001</v>
      </c>
      <c r="G6" s="3">
        <v>831.45458673940004</v>
      </c>
    </row>
    <row r="7" spans="1:7" x14ac:dyDescent="0.2">
      <c r="A7" s="3" t="s">
        <v>163</v>
      </c>
      <c r="B7" t="s">
        <v>269</v>
      </c>
      <c r="C7" t="s">
        <v>263</v>
      </c>
      <c r="D7" s="3">
        <v>834.25874192900005</v>
      </c>
      <c r="E7" s="3">
        <v>1572.6976718275</v>
      </c>
      <c r="F7" s="3">
        <v>1003.3570133614</v>
      </c>
      <c r="G7" s="3">
        <v>938.27578534630004</v>
      </c>
    </row>
    <row r="8" spans="1:7" x14ac:dyDescent="0.2">
      <c r="A8" s="3" t="s">
        <v>162</v>
      </c>
      <c r="B8" t="s">
        <v>269</v>
      </c>
      <c r="C8" t="s">
        <v>264</v>
      </c>
      <c r="D8" s="3">
        <v>705.15678021719998</v>
      </c>
      <c r="E8" s="3">
        <v>1147.9655192729999</v>
      </c>
      <c r="F8" s="3">
        <v>651.77372841069996</v>
      </c>
      <c r="G8" s="3">
        <v>708.41301010869995</v>
      </c>
    </row>
    <row r="9" spans="1:7" x14ac:dyDescent="0.2">
      <c r="A9" s="3" t="s">
        <v>161</v>
      </c>
      <c r="B9" t="s">
        <v>269</v>
      </c>
      <c r="C9" t="s">
        <v>264</v>
      </c>
      <c r="D9" s="3">
        <v>710.22587189959995</v>
      </c>
      <c r="E9" s="3">
        <v>877.10045231740003</v>
      </c>
      <c r="F9" s="3">
        <v>632.02319101939997</v>
      </c>
      <c r="G9" s="3">
        <v>669.68968420149997</v>
      </c>
    </row>
    <row r="10" spans="1:7" x14ac:dyDescent="0.2">
      <c r="A10" s="3" t="s">
        <v>160</v>
      </c>
      <c r="B10" t="s">
        <v>269</v>
      </c>
      <c r="C10" t="s">
        <v>264</v>
      </c>
      <c r="D10" s="3">
        <v>340.27037082129999</v>
      </c>
      <c r="E10" s="3">
        <v>929.82974090530001</v>
      </c>
      <c r="F10" s="3">
        <v>605.33133330340002</v>
      </c>
      <c r="G10" s="3">
        <v>1039.8947762836999</v>
      </c>
    </row>
    <row r="11" spans="1:7" x14ac:dyDescent="0.2">
      <c r="A11" s="3" t="s">
        <v>159</v>
      </c>
      <c r="B11" t="s">
        <v>269</v>
      </c>
      <c r="C11" t="s">
        <v>264</v>
      </c>
      <c r="D11" s="3">
        <v>292.01866639870002</v>
      </c>
      <c r="E11" s="3">
        <v>871.55386807449997</v>
      </c>
      <c r="F11" s="3">
        <v>501.5021637868</v>
      </c>
      <c r="G11" s="3">
        <v>756.76879255179995</v>
      </c>
    </row>
    <row r="12" spans="1:7" x14ac:dyDescent="0.2">
      <c r="A12" s="3" t="s">
        <v>158</v>
      </c>
      <c r="B12" t="s">
        <v>269</v>
      </c>
      <c r="C12" t="s">
        <v>264</v>
      </c>
      <c r="D12" s="3">
        <v>271.53640557680001</v>
      </c>
      <c r="E12" s="3">
        <v>984.35114071860005</v>
      </c>
      <c r="F12" s="3">
        <v>95.908870154100001</v>
      </c>
      <c r="G12" s="3">
        <v>935.90052457440004</v>
      </c>
    </row>
    <row r="13" spans="1:7" x14ac:dyDescent="0.2">
      <c r="A13" s="3" t="s">
        <v>157</v>
      </c>
      <c r="B13" t="s">
        <v>269</v>
      </c>
      <c r="C13" t="s">
        <v>264</v>
      </c>
      <c r="D13" s="3">
        <v>262.34909579390001</v>
      </c>
      <c r="E13" s="3">
        <v>830.30484399720001</v>
      </c>
      <c r="F13" s="3">
        <v>477.50749159539998</v>
      </c>
      <c r="G13" s="3">
        <v>962.3605850056</v>
      </c>
    </row>
    <row r="14" spans="1:7" x14ac:dyDescent="0.2">
      <c r="A14" s="5" t="s">
        <v>168</v>
      </c>
      <c r="B14" t="s">
        <v>268</v>
      </c>
      <c r="C14" t="s">
        <v>263</v>
      </c>
      <c r="D14" s="5">
        <v>1035.8063673121001</v>
      </c>
      <c r="E14" s="5">
        <v>274.8275905973</v>
      </c>
      <c r="F14" s="5">
        <v>266.68846269329998</v>
      </c>
      <c r="G14" s="5">
        <v>764.98998388330006</v>
      </c>
    </row>
    <row r="15" spans="1:7" x14ac:dyDescent="0.2">
      <c r="A15" s="5" t="s">
        <v>167</v>
      </c>
      <c r="B15" t="s">
        <v>268</v>
      </c>
      <c r="C15" t="s">
        <v>263</v>
      </c>
      <c r="D15" s="5">
        <v>641.16351161279999</v>
      </c>
      <c r="E15" s="5">
        <v>446.6403158745</v>
      </c>
      <c r="F15" s="5">
        <v>505.6558062405</v>
      </c>
      <c r="G15" s="5">
        <v>1048.139704915</v>
      </c>
    </row>
    <row r="16" spans="1:7" x14ac:dyDescent="0.2">
      <c r="A16" s="5" t="s">
        <v>166</v>
      </c>
      <c r="B16" t="s">
        <v>268</v>
      </c>
      <c r="C16" t="s">
        <v>263</v>
      </c>
      <c r="D16" s="5">
        <v>1036.6702823369999</v>
      </c>
      <c r="E16" s="5">
        <v>210.69021360849999</v>
      </c>
      <c r="F16" s="5">
        <v>676.05099049620003</v>
      </c>
      <c r="G16" s="5">
        <v>1105.0631614515</v>
      </c>
    </row>
    <row r="17" spans="1:7" x14ac:dyDescent="0.2">
      <c r="A17" s="5" t="s">
        <v>165</v>
      </c>
      <c r="B17" t="s">
        <v>268</v>
      </c>
      <c r="C17" t="s">
        <v>263</v>
      </c>
      <c r="D17" s="5">
        <v>726.018468235</v>
      </c>
      <c r="E17" s="5">
        <v>131.01981965900001</v>
      </c>
      <c r="F17" s="5">
        <v>420.29290977319999</v>
      </c>
      <c r="G17" s="5">
        <v>979.28459411649999</v>
      </c>
    </row>
    <row r="18" spans="1:7" x14ac:dyDescent="0.2">
      <c r="A18" s="5" t="s">
        <v>164</v>
      </c>
      <c r="B18" t="s">
        <v>268</v>
      </c>
      <c r="C18" t="s">
        <v>263</v>
      </c>
      <c r="D18" s="5">
        <v>746.92748720019995</v>
      </c>
      <c r="E18" s="5">
        <v>83.610985563400007</v>
      </c>
      <c r="F18" s="5">
        <v>608.35640627090004</v>
      </c>
      <c r="G18" s="5">
        <v>947.58861847119999</v>
      </c>
    </row>
    <row r="19" spans="1:7" x14ac:dyDescent="0.2">
      <c r="A19" s="5" t="s">
        <v>163</v>
      </c>
      <c r="B19" t="s">
        <v>268</v>
      </c>
      <c r="C19" t="s">
        <v>263</v>
      </c>
      <c r="D19" s="5">
        <v>1223.3994233989999</v>
      </c>
      <c r="E19" s="5">
        <v>83.536112753099999</v>
      </c>
      <c r="F19" s="5">
        <v>266.41371763159998</v>
      </c>
      <c r="G19" s="5">
        <v>751.26926081720001</v>
      </c>
    </row>
    <row r="20" spans="1:7" x14ac:dyDescent="0.2">
      <c r="A20" s="5" t="s">
        <v>162</v>
      </c>
      <c r="B20" t="s">
        <v>268</v>
      </c>
      <c r="C20" t="s">
        <v>264</v>
      </c>
      <c r="D20" s="5">
        <v>379.4457504472</v>
      </c>
      <c r="E20" s="5">
        <v>166.8944183417</v>
      </c>
      <c r="F20" s="5">
        <v>237.5780434991</v>
      </c>
      <c r="G20" s="5">
        <v>680.95705750540003</v>
      </c>
    </row>
    <row r="21" spans="1:7" x14ac:dyDescent="0.2">
      <c r="A21" s="5" t="s">
        <v>161</v>
      </c>
      <c r="B21" t="s">
        <v>268</v>
      </c>
      <c r="C21" t="s">
        <v>264</v>
      </c>
      <c r="D21" s="5">
        <v>359.22144568369998</v>
      </c>
      <c r="E21" s="5">
        <v>147.71945037500001</v>
      </c>
      <c r="F21" s="5">
        <v>214.94863603330001</v>
      </c>
      <c r="G21" s="5">
        <v>755.17965130000005</v>
      </c>
    </row>
    <row r="22" spans="1:7" x14ac:dyDescent="0.2">
      <c r="A22" s="5" t="s">
        <v>160</v>
      </c>
      <c r="B22" t="s">
        <v>268</v>
      </c>
      <c r="C22" t="s">
        <v>264</v>
      </c>
      <c r="D22" s="5">
        <v>504.35809184930002</v>
      </c>
      <c r="E22" s="5">
        <v>111.5927971671</v>
      </c>
      <c r="F22" s="5">
        <v>49.581858699100003</v>
      </c>
      <c r="G22" s="5">
        <v>773.97049950749999</v>
      </c>
    </row>
    <row r="23" spans="1:7" x14ac:dyDescent="0.2">
      <c r="A23" s="5" t="s">
        <v>159</v>
      </c>
      <c r="B23" t="s">
        <v>268</v>
      </c>
      <c r="C23" t="s">
        <v>264</v>
      </c>
      <c r="D23" s="5">
        <v>480.1826075459</v>
      </c>
      <c r="E23" s="5">
        <v>8.9324488862999996</v>
      </c>
      <c r="F23" s="5">
        <v>112.27937910449999</v>
      </c>
      <c r="G23" s="5">
        <v>1006.3551603679</v>
      </c>
    </row>
    <row r="24" spans="1:7" x14ac:dyDescent="0.2">
      <c r="A24" s="5" t="s">
        <v>158</v>
      </c>
      <c r="B24" t="s">
        <v>268</v>
      </c>
      <c r="C24" t="s">
        <v>264</v>
      </c>
      <c r="D24" s="5">
        <v>748.23699385880002</v>
      </c>
      <c r="E24" s="5">
        <v>94.896425285600003</v>
      </c>
      <c r="F24" s="5">
        <v>82.102493364899999</v>
      </c>
      <c r="G24" s="5">
        <v>992.71303697630003</v>
      </c>
    </row>
    <row r="25" spans="1:7" x14ac:dyDescent="0.2">
      <c r="A25" s="5" t="s">
        <v>157</v>
      </c>
      <c r="B25" t="s">
        <v>268</v>
      </c>
      <c r="C25" t="s">
        <v>264</v>
      </c>
      <c r="D25" s="5">
        <v>499.96850834629998</v>
      </c>
      <c r="E25" s="5">
        <v>159.993728621</v>
      </c>
      <c r="F25" s="5">
        <v>208.24798610920001</v>
      </c>
      <c r="G25" s="5">
        <v>976.59723619110002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14BF-A120-459E-864E-3B6439198621}">
  <dimension ref="A1:Q81"/>
  <sheetViews>
    <sheetView topLeftCell="A7" workbookViewId="0">
      <selection activeCell="L28" sqref="L28"/>
    </sheetView>
  </sheetViews>
  <sheetFormatPr baseColWidth="10" defaultColWidth="8.83203125" defaultRowHeight="15" x14ac:dyDescent="0.2"/>
  <cols>
    <col min="3" max="3" width="9.6640625" customWidth="1"/>
  </cols>
  <sheetData>
    <row r="1" spans="1:17" x14ac:dyDescent="0.2">
      <c r="B1" t="s">
        <v>221</v>
      </c>
      <c r="C1" s="1" t="s">
        <v>220</v>
      </c>
      <c r="D1" s="1" t="s">
        <v>219</v>
      </c>
      <c r="E1" s="1" t="s">
        <v>218</v>
      </c>
      <c r="F1" s="1" t="s">
        <v>217</v>
      </c>
      <c r="G1" s="1"/>
      <c r="L1" s="8" t="s">
        <v>233</v>
      </c>
      <c r="M1" s="8"/>
      <c r="N1" s="8"/>
      <c r="O1" s="8"/>
      <c r="P1" s="8"/>
      <c r="Q1" s="8"/>
    </row>
    <row r="2" spans="1:17" x14ac:dyDescent="0.2">
      <c r="A2" s="8" t="s">
        <v>232</v>
      </c>
      <c r="B2">
        <v>60</v>
      </c>
      <c r="C2">
        <v>20.78</v>
      </c>
      <c r="D2">
        <v>23.61</v>
      </c>
      <c r="E2">
        <v>12.01</v>
      </c>
      <c r="F2">
        <v>2.84</v>
      </c>
      <c r="M2" t="s">
        <v>221</v>
      </c>
      <c r="N2" t="s">
        <v>220</v>
      </c>
      <c r="O2" t="s">
        <v>219</v>
      </c>
      <c r="P2" t="s">
        <v>218</v>
      </c>
      <c r="Q2" t="s">
        <v>217</v>
      </c>
    </row>
    <row r="3" spans="1:17" x14ac:dyDescent="0.2">
      <c r="A3" s="8"/>
      <c r="B3">
        <v>22.02</v>
      </c>
      <c r="C3">
        <v>18.53</v>
      </c>
      <c r="D3">
        <v>17.78</v>
      </c>
      <c r="E3">
        <v>4.96</v>
      </c>
      <c r="F3">
        <v>12.18</v>
      </c>
      <c r="L3" t="s">
        <v>232</v>
      </c>
      <c r="M3">
        <f>AVERAGE(B2:B5)</f>
        <v>38.847499999999997</v>
      </c>
      <c r="N3">
        <f>AVERAGE(C2:C5)</f>
        <v>17.065000000000001</v>
      </c>
      <c r="O3">
        <f>AVERAGE(D2:D5)</f>
        <v>31.037500000000001</v>
      </c>
      <c r="P3">
        <f>AVERAGE(E2:E5)</f>
        <v>5.5649999999999995</v>
      </c>
      <c r="Q3">
        <f>AVERAGE(F2:F5)</f>
        <v>18.852499999999999</v>
      </c>
    </row>
    <row r="4" spans="1:17" x14ac:dyDescent="0.2">
      <c r="A4" s="8"/>
      <c r="B4">
        <v>60</v>
      </c>
      <c r="C4">
        <v>24.81</v>
      </c>
      <c r="D4">
        <v>43.35</v>
      </c>
      <c r="E4">
        <v>4.66</v>
      </c>
      <c r="F4">
        <v>27.35</v>
      </c>
      <c r="L4" t="s">
        <v>230</v>
      </c>
      <c r="M4">
        <f>AVERAGE(B6:B9)</f>
        <v>38.090000000000003</v>
      </c>
      <c r="N4">
        <f>AVERAGE(C6:C9)</f>
        <v>37.14</v>
      </c>
      <c r="O4">
        <f>AVERAGE(D6:D9)</f>
        <v>32.94</v>
      </c>
      <c r="P4">
        <f>AVERAGE(E6:E9)</f>
        <v>35.979999999999997</v>
      </c>
      <c r="Q4">
        <f>AVERAGE(F6:F9)</f>
        <v>18.474999999999998</v>
      </c>
    </row>
    <row r="5" spans="1:17" x14ac:dyDescent="0.2">
      <c r="A5" s="8"/>
      <c r="B5">
        <v>13.37</v>
      </c>
      <c r="C5">
        <v>4.1399999999999997</v>
      </c>
      <c r="D5">
        <v>39.409999999999997</v>
      </c>
      <c r="E5">
        <v>0.63</v>
      </c>
      <c r="F5">
        <v>33.04</v>
      </c>
      <c r="L5" t="s">
        <v>231</v>
      </c>
      <c r="M5">
        <f>AVERAGE(B10:B13)</f>
        <v>60</v>
      </c>
      <c r="N5">
        <f>AVERAGE(C10:C13)</f>
        <v>37.68</v>
      </c>
      <c r="O5">
        <f>AVERAGE(D10:D13)</f>
        <v>6.6199999999999992</v>
      </c>
      <c r="P5">
        <f>AVERAGE(E10:E13)</f>
        <v>27.049999999999997</v>
      </c>
      <c r="Q5">
        <f>AVERAGE(F10:F13)</f>
        <v>6.2100000000000009</v>
      </c>
    </row>
    <row r="6" spans="1:17" x14ac:dyDescent="0.2">
      <c r="A6" s="8" t="s">
        <v>230</v>
      </c>
      <c r="B6">
        <v>13.47</v>
      </c>
      <c r="C6">
        <v>60</v>
      </c>
      <c r="D6">
        <v>60</v>
      </c>
      <c r="E6">
        <v>37.229999999999997</v>
      </c>
      <c r="F6">
        <v>37.79</v>
      </c>
      <c r="L6" t="s">
        <v>229</v>
      </c>
      <c r="M6">
        <f>AVERAGE(B14:B17)</f>
        <v>32.172499999999999</v>
      </c>
      <c r="N6">
        <f>AVERAGE(C14:C17)</f>
        <v>19.087500000000002</v>
      </c>
      <c r="O6">
        <f>AVERAGE(D14:D17)</f>
        <v>13.134999999999998</v>
      </c>
      <c r="P6">
        <f>AVERAGE(E14:E17)</f>
        <v>38.555</v>
      </c>
      <c r="Q6">
        <f>AVERAGE(F14:F17)</f>
        <v>23.26</v>
      </c>
    </row>
    <row r="7" spans="1:17" x14ac:dyDescent="0.2">
      <c r="A7" s="8"/>
      <c r="B7">
        <v>60</v>
      </c>
      <c r="C7">
        <v>57.88</v>
      </c>
      <c r="D7">
        <v>3.54</v>
      </c>
      <c r="E7">
        <v>4.79</v>
      </c>
      <c r="F7">
        <v>14.59</v>
      </c>
      <c r="L7" t="s">
        <v>8</v>
      </c>
      <c r="M7">
        <f>AVERAGE(B18:B21)</f>
        <v>53.797499999999999</v>
      </c>
      <c r="N7">
        <f>AVERAGE(C18:C21)</f>
        <v>25.897500000000001</v>
      </c>
      <c r="O7">
        <f>AVERAGE(D18:D21)</f>
        <v>27.15</v>
      </c>
      <c r="P7">
        <f>AVERAGE(E18:E21)</f>
        <v>17.395</v>
      </c>
      <c r="Q7">
        <f>AVERAGE(F18:F21)</f>
        <v>12.190000000000001</v>
      </c>
    </row>
    <row r="8" spans="1:17" x14ac:dyDescent="0.2">
      <c r="A8" s="8"/>
      <c r="B8">
        <v>60</v>
      </c>
      <c r="C8">
        <v>28.25</v>
      </c>
      <c r="D8">
        <v>30.36</v>
      </c>
      <c r="E8">
        <v>41.9</v>
      </c>
      <c r="F8">
        <v>11.78</v>
      </c>
      <c r="L8" t="s">
        <v>9</v>
      </c>
      <c r="M8">
        <f>AVERAGE(B22:B25)</f>
        <v>48.9375</v>
      </c>
      <c r="N8">
        <f>AVERAGE(C22:C25)</f>
        <v>55.71</v>
      </c>
      <c r="O8">
        <f>AVERAGE(D22:D25)</f>
        <v>27.082500000000003</v>
      </c>
      <c r="P8">
        <f>AVERAGE(E22:E25)</f>
        <v>17.687500000000004</v>
      </c>
      <c r="Q8">
        <f>AVERAGE(F22:F25)</f>
        <v>14.275</v>
      </c>
    </row>
    <row r="9" spans="1:17" x14ac:dyDescent="0.2">
      <c r="A9" s="8"/>
      <c r="B9">
        <v>18.89</v>
      </c>
      <c r="C9">
        <v>2.4300000000000002</v>
      </c>
      <c r="D9">
        <v>37.86</v>
      </c>
      <c r="E9">
        <v>60</v>
      </c>
      <c r="F9">
        <v>9.74</v>
      </c>
      <c r="L9" t="s">
        <v>10</v>
      </c>
      <c r="M9">
        <f>AVERAGE(B26:B29)</f>
        <v>46.620000000000005</v>
      </c>
      <c r="N9">
        <f>AVERAGE(C26:C29)</f>
        <v>41.805</v>
      </c>
      <c r="O9">
        <f>AVERAGE(D26:D29)</f>
        <v>15.215000000000002</v>
      </c>
      <c r="P9">
        <f>AVERAGE(E26:E29)</f>
        <v>15.452500000000001</v>
      </c>
      <c r="Q9">
        <f>AVERAGE(F26:F29)</f>
        <v>6.0000000000000009</v>
      </c>
    </row>
    <row r="10" spans="1:17" x14ac:dyDescent="0.2">
      <c r="A10" s="8" t="s">
        <v>228</v>
      </c>
      <c r="B10">
        <v>60</v>
      </c>
      <c r="C10">
        <v>20.54</v>
      </c>
      <c r="D10">
        <v>16.329999999999998</v>
      </c>
      <c r="E10">
        <v>41.18</v>
      </c>
      <c r="F10">
        <v>12.83</v>
      </c>
      <c r="L10" t="s">
        <v>11</v>
      </c>
      <c r="M10">
        <f>AVERAGE(B30:B33)</f>
        <v>34.517499999999998</v>
      </c>
      <c r="N10">
        <f>AVERAGE(C30:C33)</f>
        <v>50.91</v>
      </c>
      <c r="O10">
        <f>AVERAGE(D30:D33)</f>
        <v>18.905000000000001</v>
      </c>
      <c r="P10">
        <f>AVERAGE(E30:E33)</f>
        <v>9.1300000000000008</v>
      </c>
      <c r="Q10">
        <f>AVERAGE(F30:F33)</f>
        <v>22.807500000000001</v>
      </c>
    </row>
    <row r="11" spans="1:17" x14ac:dyDescent="0.2">
      <c r="A11" s="8"/>
      <c r="B11">
        <v>60</v>
      </c>
      <c r="C11">
        <v>60</v>
      </c>
      <c r="D11">
        <v>3.5</v>
      </c>
      <c r="E11">
        <v>28.08</v>
      </c>
      <c r="F11">
        <v>7.29</v>
      </c>
      <c r="L11" t="s">
        <v>12</v>
      </c>
      <c r="M11">
        <f>AVERAGE(B34:B37)</f>
        <v>48.72</v>
      </c>
      <c r="N11">
        <f>AVERAGE(C34:C37)</f>
        <v>56.63</v>
      </c>
      <c r="O11">
        <f>AVERAGE(D34:D37)</f>
        <v>13.9025</v>
      </c>
      <c r="P11">
        <f>AVERAGE(E34:E37)</f>
        <v>25.587499999999999</v>
      </c>
      <c r="Q11">
        <f>AVERAGE(F34:F37)</f>
        <v>13.29</v>
      </c>
    </row>
    <row r="12" spans="1:17" x14ac:dyDescent="0.2">
      <c r="A12" s="8"/>
      <c r="B12">
        <v>60</v>
      </c>
      <c r="C12">
        <v>48.37</v>
      </c>
      <c r="D12">
        <v>3.08</v>
      </c>
      <c r="E12">
        <v>15.42</v>
      </c>
      <c r="F12">
        <v>3.46</v>
      </c>
      <c r="L12" t="s">
        <v>13</v>
      </c>
      <c r="M12">
        <f>AVERAGE(B38:B41)</f>
        <v>43.142499999999998</v>
      </c>
      <c r="N12">
        <f>AVERAGE(C38:C41)</f>
        <v>25.56</v>
      </c>
      <c r="O12">
        <f>AVERAGE(D38:D41)</f>
        <v>38.455000000000005</v>
      </c>
      <c r="P12">
        <f>AVERAGE(E38:E41)</f>
        <v>22.419999999999998</v>
      </c>
      <c r="Q12">
        <f>AVERAGE(F38:F41)</f>
        <v>22.0625</v>
      </c>
    </row>
    <row r="13" spans="1:17" x14ac:dyDescent="0.2">
      <c r="A13" s="8"/>
      <c r="B13">
        <v>60</v>
      </c>
      <c r="C13">
        <v>21.81</v>
      </c>
      <c r="D13">
        <v>3.57</v>
      </c>
      <c r="E13">
        <v>23.52</v>
      </c>
      <c r="F13">
        <v>1.26</v>
      </c>
      <c r="L13" t="s">
        <v>32</v>
      </c>
      <c r="M13">
        <f>AVERAGE(B42:B45)</f>
        <v>60</v>
      </c>
      <c r="N13">
        <f>AVERAGE(C42:C45)</f>
        <v>31.005000000000003</v>
      </c>
      <c r="O13">
        <f>AVERAGE(D42:D45)</f>
        <v>29.555</v>
      </c>
      <c r="P13">
        <f>AVERAGE(E42:E45)</f>
        <v>43.37</v>
      </c>
      <c r="Q13">
        <f>AVERAGE(F42:F45)</f>
        <v>18.752500000000001</v>
      </c>
    </row>
    <row r="14" spans="1:17" x14ac:dyDescent="0.2">
      <c r="A14" s="8" t="s">
        <v>227</v>
      </c>
      <c r="B14">
        <v>29.74</v>
      </c>
      <c r="C14">
        <v>27.11</v>
      </c>
      <c r="D14">
        <v>29.99</v>
      </c>
      <c r="E14">
        <v>59</v>
      </c>
      <c r="F14">
        <v>27.4</v>
      </c>
      <c r="L14" t="s">
        <v>210</v>
      </c>
      <c r="M14">
        <f>AVERAGE(B46:B49)</f>
        <v>37.295000000000002</v>
      </c>
      <c r="N14">
        <f>AVERAGE(C46:C49)</f>
        <v>51.974999999999994</v>
      </c>
      <c r="O14">
        <f>AVERAGE(D46:D49)</f>
        <v>15.824999999999999</v>
      </c>
      <c r="P14">
        <f>AVERAGE(E46:E49)</f>
        <v>33.767499999999998</v>
      </c>
      <c r="Q14">
        <f>AVERAGE(F46:F49)</f>
        <v>32.305</v>
      </c>
    </row>
    <row r="15" spans="1:17" x14ac:dyDescent="0.2">
      <c r="A15" s="8"/>
      <c r="B15">
        <v>26.96</v>
      </c>
      <c r="C15">
        <v>24.26</v>
      </c>
      <c r="D15">
        <v>7.81</v>
      </c>
      <c r="E15">
        <v>60</v>
      </c>
      <c r="F15">
        <v>18.190000000000001</v>
      </c>
      <c r="L15" t="s">
        <v>34</v>
      </c>
      <c r="M15">
        <f>AVERAGE(B50:B53)</f>
        <v>36.967500000000001</v>
      </c>
      <c r="N15">
        <f>AVERAGE(C50:C53)</f>
        <v>31.27</v>
      </c>
      <c r="O15">
        <f>AVERAGE(D50:D53)</f>
        <v>21.9575</v>
      </c>
      <c r="P15">
        <f>AVERAGE(E50:E53)</f>
        <v>20.682500000000001</v>
      </c>
      <c r="Q15">
        <f>AVERAGE(F50:F53)</f>
        <v>11.612500000000001</v>
      </c>
    </row>
    <row r="16" spans="1:17" x14ac:dyDescent="0.2">
      <c r="A16" s="8"/>
      <c r="B16">
        <v>11.99</v>
      </c>
      <c r="C16">
        <v>7.95</v>
      </c>
      <c r="D16">
        <v>3.19</v>
      </c>
      <c r="E16">
        <v>29.53</v>
      </c>
      <c r="F16">
        <v>9.82</v>
      </c>
      <c r="L16" t="s">
        <v>35</v>
      </c>
      <c r="M16">
        <f>AVERAGE(B54:B57)</f>
        <v>50.897500000000001</v>
      </c>
      <c r="N16">
        <f>AVERAGE(C54:C57)</f>
        <v>47.69</v>
      </c>
      <c r="O16">
        <f>AVERAGE(D54:D57)</f>
        <v>44.162500000000001</v>
      </c>
      <c r="P16">
        <f>AVERAGE(E54:E57)</f>
        <v>21.362500000000001</v>
      </c>
      <c r="Q16">
        <f>AVERAGE(F54:F57)</f>
        <v>14.752500000000001</v>
      </c>
    </row>
    <row r="17" spans="1:17" x14ac:dyDescent="0.2">
      <c r="A17" s="8"/>
      <c r="B17">
        <v>60</v>
      </c>
      <c r="C17">
        <v>17.03</v>
      </c>
      <c r="D17">
        <v>11.55</v>
      </c>
      <c r="E17">
        <v>5.69</v>
      </c>
      <c r="F17">
        <v>37.630000000000003</v>
      </c>
      <c r="L17" t="s">
        <v>226</v>
      </c>
      <c r="M17">
        <f>AVERAGE(B58:B61)</f>
        <v>34.79</v>
      </c>
      <c r="N17">
        <f>AVERAGE(C58:C61)</f>
        <v>13.06</v>
      </c>
      <c r="O17">
        <f>AVERAGE(D58:D61)</f>
        <v>25.384999999999998</v>
      </c>
      <c r="P17">
        <f>AVERAGE(E58:E61)</f>
        <v>16.54</v>
      </c>
      <c r="Q17">
        <f>AVERAGE(F58:F61)</f>
        <v>31.41</v>
      </c>
    </row>
    <row r="18" spans="1:17" x14ac:dyDescent="0.2">
      <c r="A18" s="8" t="s">
        <v>225</v>
      </c>
      <c r="B18">
        <v>54.47</v>
      </c>
      <c r="C18">
        <v>60</v>
      </c>
      <c r="D18">
        <v>18.899999999999999</v>
      </c>
      <c r="E18">
        <v>13.54</v>
      </c>
      <c r="F18">
        <v>29.68</v>
      </c>
      <c r="L18" t="s">
        <v>224</v>
      </c>
      <c r="M18">
        <f>AVERAGE(B62:B65)</f>
        <v>38.412500000000001</v>
      </c>
      <c r="N18">
        <f>AVERAGE(C62:C65)</f>
        <v>46.522500000000008</v>
      </c>
      <c r="O18">
        <f>AVERAGE(D62:D65)</f>
        <v>59.5</v>
      </c>
      <c r="P18">
        <f>AVERAGE(E62:E65)</f>
        <v>60</v>
      </c>
      <c r="Q18">
        <f>AVERAGE(F62:F65)</f>
        <v>29.292500000000004</v>
      </c>
    </row>
    <row r="19" spans="1:17" x14ac:dyDescent="0.2">
      <c r="A19" s="8"/>
      <c r="B19">
        <v>60</v>
      </c>
      <c r="C19">
        <v>4</v>
      </c>
      <c r="D19">
        <v>49.58</v>
      </c>
      <c r="E19">
        <v>3.54</v>
      </c>
      <c r="F19">
        <v>1.44</v>
      </c>
      <c r="L19" t="s">
        <v>36</v>
      </c>
      <c r="M19">
        <f>AVERAGE(B66:B69)</f>
        <v>54.7425</v>
      </c>
      <c r="N19">
        <f>AVERAGE(C66:C69)</f>
        <v>42.125</v>
      </c>
      <c r="O19">
        <f>AVERAGE(D66:D69)</f>
        <v>37.839999999999996</v>
      </c>
      <c r="P19">
        <f>AVERAGE(E66:E69)</f>
        <v>36.977500000000006</v>
      </c>
      <c r="Q19">
        <f>AVERAGE(F66:F69)</f>
        <v>31.697499999999998</v>
      </c>
    </row>
    <row r="20" spans="1:17" x14ac:dyDescent="0.2">
      <c r="A20" s="8"/>
      <c r="B20">
        <v>60</v>
      </c>
      <c r="C20">
        <v>28.87</v>
      </c>
      <c r="D20">
        <v>30</v>
      </c>
      <c r="E20">
        <v>28.31</v>
      </c>
      <c r="F20">
        <v>9.08</v>
      </c>
      <c r="L20" t="s">
        <v>37</v>
      </c>
      <c r="M20">
        <f>AVERAGE(B70:B73)</f>
        <v>48.045000000000002</v>
      </c>
      <c r="N20">
        <f>AVERAGE(C70:C73)</f>
        <v>50.707499999999996</v>
      </c>
      <c r="O20">
        <f>AVERAGE(D70:D73)</f>
        <v>17.497499999999999</v>
      </c>
      <c r="P20">
        <f>AVERAGE(E70:E73)</f>
        <v>19.487500000000001</v>
      </c>
      <c r="Q20">
        <f>AVERAGE(F70:F73)</f>
        <v>29.189999999999998</v>
      </c>
    </row>
    <row r="21" spans="1:17" x14ac:dyDescent="0.2">
      <c r="A21" s="8"/>
      <c r="B21">
        <v>40.72</v>
      </c>
      <c r="C21">
        <v>10.72</v>
      </c>
      <c r="D21">
        <v>10.119999999999999</v>
      </c>
      <c r="E21">
        <v>24.19</v>
      </c>
      <c r="F21">
        <v>8.56</v>
      </c>
      <c r="L21" t="s">
        <v>38</v>
      </c>
      <c r="M21">
        <f>AVERAGE(B74:B77)</f>
        <v>46.737499999999997</v>
      </c>
      <c r="N21">
        <f>AVERAGE(C74:C77)</f>
        <v>39.567500000000003</v>
      </c>
      <c r="O21">
        <f>AVERAGE(D74:D77)</f>
        <v>20.154999999999998</v>
      </c>
      <c r="P21">
        <f>AVERAGE(E74:E77)</f>
        <v>19.8325</v>
      </c>
      <c r="Q21">
        <f>AVERAGE(F74:F77)</f>
        <v>25.14</v>
      </c>
    </row>
    <row r="22" spans="1:17" x14ac:dyDescent="0.2">
      <c r="A22" s="8" t="s">
        <v>223</v>
      </c>
      <c r="B22">
        <v>15.75</v>
      </c>
      <c r="C22">
        <v>60</v>
      </c>
      <c r="D22">
        <v>60</v>
      </c>
      <c r="E22">
        <v>35.950000000000003</v>
      </c>
      <c r="F22">
        <v>24</v>
      </c>
      <c r="L22" t="s">
        <v>39</v>
      </c>
      <c r="M22">
        <f>AVERAGE(B78:B81)</f>
        <v>41.015000000000001</v>
      </c>
      <c r="N22">
        <f>AVERAGE(C78:C81)</f>
        <v>23.087499999999999</v>
      </c>
      <c r="O22">
        <f>AVERAGE(D78:D81)</f>
        <v>40.547499999999999</v>
      </c>
      <c r="P22">
        <f>AVERAGE(E78:E81)</f>
        <v>15.6875</v>
      </c>
      <c r="Q22">
        <f>AVERAGE(F78:F81)</f>
        <v>31.102499999999999</v>
      </c>
    </row>
    <row r="23" spans="1:17" x14ac:dyDescent="0.2">
      <c r="A23" s="8"/>
      <c r="B23">
        <v>60</v>
      </c>
      <c r="C23">
        <v>60</v>
      </c>
      <c r="D23">
        <v>9.98</v>
      </c>
      <c r="E23">
        <v>4.2</v>
      </c>
      <c r="F23">
        <v>13.85</v>
      </c>
    </row>
    <row r="24" spans="1:17" x14ac:dyDescent="0.2">
      <c r="A24" s="8"/>
      <c r="B24">
        <v>60</v>
      </c>
      <c r="C24">
        <v>60</v>
      </c>
      <c r="D24">
        <v>27.82</v>
      </c>
      <c r="E24">
        <v>6.48</v>
      </c>
      <c r="F24">
        <v>13.53</v>
      </c>
      <c r="L24" s="8" t="s">
        <v>222</v>
      </c>
      <c r="M24" s="8"/>
      <c r="N24" s="8"/>
      <c r="O24" s="8"/>
      <c r="P24" s="8"/>
      <c r="Q24" s="8"/>
    </row>
    <row r="25" spans="1:17" x14ac:dyDescent="0.2">
      <c r="A25" s="8"/>
      <c r="B25">
        <v>60</v>
      </c>
      <c r="C25">
        <v>42.84</v>
      </c>
      <c r="D25">
        <v>10.53</v>
      </c>
      <c r="E25">
        <v>24.12</v>
      </c>
      <c r="F25">
        <v>5.72</v>
      </c>
      <c r="M25" t="s">
        <v>221</v>
      </c>
      <c r="N25" t="s">
        <v>220</v>
      </c>
      <c r="O25" t="s">
        <v>219</v>
      </c>
      <c r="P25" t="s">
        <v>218</v>
      </c>
      <c r="Q25" t="s">
        <v>217</v>
      </c>
    </row>
    <row r="26" spans="1:17" x14ac:dyDescent="0.2">
      <c r="A26" s="8" t="s">
        <v>216</v>
      </c>
      <c r="B26">
        <v>56.46</v>
      </c>
      <c r="C26">
        <v>58.93</v>
      </c>
      <c r="D26">
        <v>7.57</v>
      </c>
      <c r="E26">
        <v>2.02</v>
      </c>
      <c r="F26">
        <v>10.72</v>
      </c>
      <c r="L26" t="s">
        <v>215</v>
      </c>
      <c r="M26">
        <f>AVERAGE(M3:M12)</f>
        <v>44.484499999999997</v>
      </c>
      <c r="N26">
        <f>AVERAGE(N3:N12)</f>
        <v>36.7485</v>
      </c>
      <c r="O26">
        <f>AVERAGE(O3:O12)</f>
        <v>22.444250000000004</v>
      </c>
      <c r="P26">
        <f>AVERAGE(P3:P12)</f>
        <v>21.482250000000001</v>
      </c>
      <c r="Q26">
        <f>AVERAGE(Q3:Q12)</f>
        <v>15.742250000000002</v>
      </c>
    </row>
    <row r="27" spans="1:17" x14ac:dyDescent="0.2">
      <c r="A27" s="8"/>
      <c r="B27">
        <v>60</v>
      </c>
      <c r="C27">
        <v>39.51</v>
      </c>
      <c r="D27">
        <v>42</v>
      </c>
      <c r="E27">
        <v>8.92</v>
      </c>
      <c r="F27">
        <v>7.63</v>
      </c>
      <c r="L27" t="s">
        <v>214</v>
      </c>
      <c r="M27">
        <f>AVERAGE(M13:M22)</f>
        <v>44.890250000000002</v>
      </c>
      <c r="N27">
        <f>AVERAGE(N13:N22)</f>
        <v>37.701000000000001</v>
      </c>
      <c r="O27">
        <f>AVERAGE(O13:O22)</f>
        <v>31.2425</v>
      </c>
      <c r="P27">
        <f>AVERAGE(P13:P22)</f>
        <v>28.77075</v>
      </c>
      <c r="Q27">
        <f>AVERAGE(Q13:Q22)</f>
        <v>25.525499999999997</v>
      </c>
    </row>
    <row r="28" spans="1:17" x14ac:dyDescent="0.2">
      <c r="A28" s="8"/>
      <c r="B28">
        <v>10.02</v>
      </c>
      <c r="C28">
        <v>60</v>
      </c>
      <c r="D28">
        <v>7.52</v>
      </c>
      <c r="E28">
        <v>1.23</v>
      </c>
      <c r="F28">
        <v>4.3899999999999997</v>
      </c>
      <c r="L28" t="s">
        <v>152</v>
      </c>
      <c r="M28">
        <v>0.91800000000000004</v>
      </c>
      <c r="N28">
        <v>0.879</v>
      </c>
      <c r="O28">
        <v>0.127</v>
      </c>
      <c r="P28">
        <v>0.216</v>
      </c>
      <c r="Q28">
        <v>6.0000000000000001E-3</v>
      </c>
    </row>
    <row r="29" spans="1:17" x14ac:dyDescent="0.2">
      <c r="A29" s="8"/>
      <c r="B29">
        <v>60</v>
      </c>
      <c r="C29">
        <v>8.7799999999999994</v>
      </c>
      <c r="D29">
        <v>3.77</v>
      </c>
      <c r="E29">
        <v>49.64</v>
      </c>
      <c r="F29">
        <v>1.26</v>
      </c>
    </row>
    <row r="30" spans="1:17" x14ac:dyDescent="0.2">
      <c r="A30" s="8" t="s">
        <v>213</v>
      </c>
      <c r="B30">
        <v>10.39</v>
      </c>
      <c r="C30">
        <v>23.64</v>
      </c>
      <c r="D30">
        <v>52.54</v>
      </c>
      <c r="E30">
        <v>13.67</v>
      </c>
      <c r="F30">
        <v>27.16</v>
      </c>
    </row>
    <row r="31" spans="1:17" x14ac:dyDescent="0.2">
      <c r="A31" s="8"/>
      <c r="B31">
        <v>57.55</v>
      </c>
      <c r="C31">
        <v>60</v>
      </c>
      <c r="D31">
        <v>10.42</v>
      </c>
      <c r="E31">
        <v>10.49</v>
      </c>
      <c r="F31">
        <v>2.7</v>
      </c>
    </row>
    <row r="32" spans="1:17" x14ac:dyDescent="0.2">
      <c r="A32" s="8"/>
      <c r="B32">
        <v>10.130000000000001</v>
      </c>
      <c r="C32">
        <v>60</v>
      </c>
      <c r="D32">
        <v>4.46</v>
      </c>
      <c r="E32">
        <v>6.91</v>
      </c>
      <c r="F32">
        <v>25.1</v>
      </c>
    </row>
    <row r="33" spans="1:6" x14ac:dyDescent="0.2">
      <c r="A33" s="8"/>
      <c r="B33">
        <v>60</v>
      </c>
      <c r="C33">
        <v>60</v>
      </c>
      <c r="D33">
        <v>8.1999999999999993</v>
      </c>
      <c r="E33">
        <v>5.45</v>
      </c>
      <c r="F33">
        <v>36.270000000000003</v>
      </c>
    </row>
    <row r="34" spans="1:6" x14ac:dyDescent="0.2">
      <c r="A34" s="8" t="s">
        <v>212</v>
      </c>
      <c r="B34">
        <v>14.88</v>
      </c>
      <c r="C34">
        <v>52.7</v>
      </c>
      <c r="D34">
        <v>33.950000000000003</v>
      </c>
      <c r="E34">
        <v>59</v>
      </c>
      <c r="F34" s="6">
        <v>15.53</v>
      </c>
    </row>
    <row r="35" spans="1:6" x14ac:dyDescent="0.2">
      <c r="A35" s="8"/>
      <c r="B35">
        <v>60</v>
      </c>
      <c r="C35">
        <v>60</v>
      </c>
      <c r="D35">
        <v>2.16</v>
      </c>
      <c r="E35">
        <v>19.87</v>
      </c>
      <c r="F35">
        <v>15.95</v>
      </c>
    </row>
    <row r="36" spans="1:6" x14ac:dyDescent="0.2">
      <c r="A36" s="8"/>
      <c r="B36">
        <v>60</v>
      </c>
      <c r="C36">
        <v>53.82</v>
      </c>
      <c r="D36">
        <v>13.03</v>
      </c>
      <c r="E36">
        <v>20.74</v>
      </c>
      <c r="F36">
        <v>13.18</v>
      </c>
    </row>
    <row r="37" spans="1:6" x14ac:dyDescent="0.2">
      <c r="A37" s="8"/>
      <c r="B37">
        <v>60</v>
      </c>
      <c r="C37">
        <v>60</v>
      </c>
      <c r="D37">
        <v>6.47</v>
      </c>
      <c r="E37">
        <v>2.74</v>
      </c>
      <c r="F37">
        <v>8.5</v>
      </c>
    </row>
    <row r="38" spans="1:6" x14ac:dyDescent="0.2">
      <c r="A38" s="8" t="s">
        <v>211</v>
      </c>
      <c r="B38">
        <v>6.11</v>
      </c>
      <c r="C38">
        <v>1.34</v>
      </c>
      <c r="D38">
        <v>60</v>
      </c>
      <c r="E38">
        <v>6.91</v>
      </c>
      <c r="F38">
        <v>23.93</v>
      </c>
    </row>
    <row r="39" spans="1:6" x14ac:dyDescent="0.2">
      <c r="A39" s="8"/>
      <c r="B39">
        <v>60</v>
      </c>
      <c r="C39">
        <v>25.86</v>
      </c>
      <c r="D39">
        <v>35.25</v>
      </c>
      <c r="E39">
        <v>39.08</v>
      </c>
      <c r="F39">
        <v>7.21</v>
      </c>
    </row>
    <row r="40" spans="1:6" x14ac:dyDescent="0.2">
      <c r="A40" s="8"/>
      <c r="B40">
        <v>46.46</v>
      </c>
      <c r="C40">
        <v>15.04</v>
      </c>
      <c r="D40">
        <v>47.8</v>
      </c>
      <c r="E40">
        <v>26.61</v>
      </c>
      <c r="F40">
        <v>9.74</v>
      </c>
    </row>
    <row r="41" spans="1:6" x14ac:dyDescent="0.2">
      <c r="A41" s="8"/>
      <c r="B41">
        <v>60</v>
      </c>
      <c r="C41">
        <v>60</v>
      </c>
      <c r="D41">
        <v>10.77</v>
      </c>
      <c r="E41">
        <v>17.079999999999998</v>
      </c>
      <c r="F41">
        <v>47.37</v>
      </c>
    </row>
    <row r="42" spans="1:6" x14ac:dyDescent="0.2">
      <c r="A42" s="8" t="s">
        <v>32</v>
      </c>
      <c r="B42">
        <v>60</v>
      </c>
      <c r="C42">
        <v>60</v>
      </c>
      <c r="D42">
        <v>42.13</v>
      </c>
      <c r="E42">
        <v>60</v>
      </c>
      <c r="F42">
        <v>8.7899999999999991</v>
      </c>
    </row>
    <row r="43" spans="1:6" x14ac:dyDescent="0.2">
      <c r="A43" s="8"/>
      <c r="B43">
        <v>60</v>
      </c>
      <c r="C43">
        <v>26.83</v>
      </c>
      <c r="D43">
        <v>37.229999999999997</v>
      </c>
      <c r="E43">
        <v>45.22</v>
      </c>
      <c r="F43">
        <v>26.78</v>
      </c>
    </row>
    <row r="44" spans="1:6" x14ac:dyDescent="0.2">
      <c r="A44" s="8"/>
      <c r="B44">
        <v>60</v>
      </c>
      <c r="C44">
        <v>10.62</v>
      </c>
      <c r="D44">
        <v>33.799999999999997</v>
      </c>
      <c r="E44">
        <v>23.26</v>
      </c>
      <c r="F44">
        <v>12.77</v>
      </c>
    </row>
    <row r="45" spans="1:6" x14ac:dyDescent="0.2">
      <c r="A45" s="8"/>
      <c r="B45">
        <v>60</v>
      </c>
      <c r="C45">
        <v>26.57</v>
      </c>
      <c r="D45">
        <v>5.0599999999999996</v>
      </c>
      <c r="E45">
        <v>45</v>
      </c>
      <c r="F45">
        <v>26.67</v>
      </c>
    </row>
    <row r="46" spans="1:6" x14ac:dyDescent="0.2">
      <c r="A46" s="8" t="s">
        <v>210</v>
      </c>
      <c r="B46">
        <v>60</v>
      </c>
      <c r="C46">
        <v>33.01</v>
      </c>
      <c r="D46">
        <v>29.75</v>
      </c>
      <c r="E46">
        <v>60</v>
      </c>
      <c r="F46">
        <v>41.97</v>
      </c>
    </row>
    <row r="47" spans="1:6" x14ac:dyDescent="0.2">
      <c r="A47" s="8"/>
      <c r="B47">
        <v>60</v>
      </c>
      <c r="C47">
        <v>60</v>
      </c>
      <c r="D47">
        <v>6.31</v>
      </c>
      <c r="E47">
        <v>1.07</v>
      </c>
      <c r="F47">
        <v>16.7</v>
      </c>
    </row>
    <row r="48" spans="1:6" x14ac:dyDescent="0.2">
      <c r="A48" s="8"/>
      <c r="B48">
        <v>19.149999999999999</v>
      </c>
      <c r="C48">
        <v>60</v>
      </c>
      <c r="D48">
        <v>13.05</v>
      </c>
      <c r="E48">
        <v>14</v>
      </c>
      <c r="F48">
        <v>13.62</v>
      </c>
    </row>
    <row r="49" spans="1:6" x14ac:dyDescent="0.2">
      <c r="A49" s="8"/>
      <c r="B49">
        <v>10.029999999999999</v>
      </c>
      <c r="C49">
        <v>54.89</v>
      </c>
      <c r="D49">
        <v>14.19</v>
      </c>
      <c r="E49">
        <v>60</v>
      </c>
      <c r="F49">
        <v>56.93</v>
      </c>
    </row>
    <row r="50" spans="1:6" x14ac:dyDescent="0.2">
      <c r="A50" s="8" t="s">
        <v>209</v>
      </c>
      <c r="B50">
        <v>60</v>
      </c>
      <c r="C50">
        <v>45.54</v>
      </c>
      <c r="D50">
        <v>4.71</v>
      </c>
      <c r="E50">
        <v>36.869999999999997</v>
      </c>
      <c r="F50">
        <v>11.44</v>
      </c>
    </row>
    <row r="51" spans="1:6" x14ac:dyDescent="0.2">
      <c r="A51" s="8"/>
      <c r="B51">
        <v>29.29</v>
      </c>
      <c r="C51">
        <v>5.52</v>
      </c>
      <c r="D51">
        <v>14.31</v>
      </c>
      <c r="E51">
        <v>18.440000000000001</v>
      </c>
      <c r="F51">
        <v>13.76</v>
      </c>
    </row>
    <row r="52" spans="1:6" x14ac:dyDescent="0.2">
      <c r="A52" s="8"/>
      <c r="B52">
        <v>13.98</v>
      </c>
      <c r="C52">
        <v>14.02</v>
      </c>
      <c r="D52">
        <v>23.53</v>
      </c>
      <c r="E52">
        <v>23.09</v>
      </c>
      <c r="F52">
        <v>17.75</v>
      </c>
    </row>
    <row r="53" spans="1:6" x14ac:dyDescent="0.2">
      <c r="A53" s="8"/>
      <c r="B53">
        <v>44.6</v>
      </c>
      <c r="C53">
        <v>60</v>
      </c>
      <c r="D53">
        <v>45.28</v>
      </c>
      <c r="E53">
        <v>4.33</v>
      </c>
      <c r="F53">
        <v>3.5</v>
      </c>
    </row>
    <row r="54" spans="1:6" x14ac:dyDescent="0.2">
      <c r="A54" s="8" t="s">
        <v>208</v>
      </c>
      <c r="B54">
        <v>60</v>
      </c>
      <c r="C54">
        <v>49.93</v>
      </c>
      <c r="D54">
        <v>47.35</v>
      </c>
      <c r="E54">
        <v>60</v>
      </c>
      <c r="F54">
        <v>17.100000000000001</v>
      </c>
    </row>
    <row r="55" spans="1:6" x14ac:dyDescent="0.2">
      <c r="A55" s="8"/>
      <c r="B55">
        <v>49.21</v>
      </c>
      <c r="C55">
        <v>60</v>
      </c>
      <c r="D55">
        <v>10.3</v>
      </c>
      <c r="E55">
        <v>8.09</v>
      </c>
      <c r="F55">
        <v>24.65</v>
      </c>
    </row>
    <row r="56" spans="1:6" x14ac:dyDescent="0.2">
      <c r="A56" s="8"/>
      <c r="B56">
        <v>60</v>
      </c>
      <c r="C56">
        <v>60</v>
      </c>
      <c r="D56">
        <v>60</v>
      </c>
      <c r="E56">
        <v>15.12</v>
      </c>
      <c r="F56">
        <v>10.99</v>
      </c>
    </row>
    <row r="57" spans="1:6" x14ac:dyDescent="0.2">
      <c r="A57" s="8"/>
      <c r="B57">
        <v>34.380000000000003</v>
      </c>
      <c r="C57">
        <v>20.83</v>
      </c>
      <c r="D57">
        <v>59</v>
      </c>
      <c r="E57">
        <v>2.2400000000000002</v>
      </c>
      <c r="F57">
        <v>6.27</v>
      </c>
    </row>
    <row r="58" spans="1:6" x14ac:dyDescent="0.2">
      <c r="A58" s="8" t="s">
        <v>207</v>
      </c>
      <c r="B58">
        <v>12.1</v>
      </c>
      <c r="C58">
        <v>17.7</v>
      </c>
      <c r="D58">
        <v>12.11</v>
      </c>
      <c r="E58">
        <v>9.82</v>
      </c>
      <c r="F58">
        <v>60</v>
      </c>
    </row>
    <row r="59" spans="1:6" x14ac:dyDescent="0.2">
      <c r="A59" s="8"/>
      <c r="B59">
        <v>60</v>
      </c>
      <c r="C59">
        <v>9.41</v>
      </c>
      <c r="D59">
        <v>36.159999999999997</v>
      </c>
      <c r="E59">
        <v>20.399999999999999</v>
      </c>
      <c r="F59">
        <v>8.31</v>
      </c>
    </row>
    <row r="60" spans="1:6" x14ac:dyDescent="0.2">
      <c r="A60" s="8"/>
      <c r="B60">
        <v>45.06</v>
      </c>
      <c r="C60">
        <v>15</v>
      </c>
      <c r="D60">
        <v>10.25</v>
      </c>
      <c r="E60">
        <v>29.77</v>
      </c>
      <c r="F60">
        <v>21.42</v>
      </c>
    </row>
    <row r="61" spans="1:6" x14ac:dyDescent="0.2">
      <c r="A61" s="8"/>
      <c r="B61">
        <v>22</v>
      </c>
      <c r="C61">
        <v>10.130000000000001</v>
      </c>
      <c r="D61">
        <v>43.02</v>
      </c>
      <c r="E61">
        <v>6.17</v>
      </c>
      <c r="F61">
        <v>35.909999999999997</v>
      </c>
    </row>
    <row r="62" spans="1:6" x14ac:dyDescent="0.2">
      <c r="A62" s="8" t="s">
        <v>206</v>
      </c>
      <c r="B62">
        <v>60</v>
      </c>
      <c r="C62">
        <v>60</v>
      </c>
      <c r="D62">
        <v>60</v>
      </c>
      <c r="E62">
        <v>60</v>
      </c>
      <c r="F62">
        <v>52.99</v>
      </c>
    </row>
    <row r="63" spans="1:6" x14ac:dyDescent="0.2">
      <c r="A63" s="8"/>
      <c r="B63">
        <v>13.56</v>
      </c>
      <c r="C63">
        <v>20.98</v>
      </c>
      <c r="D63">
        <v>59</v>
      </c>
      <c r="E63">
        <v>60</v>
      </c>
      <c r="F63">
        <v>41.63</v>
      </c>
    </row>
    <row r="64" spans="1:6" x14ac:dyDescent="0.2">
      <c r="A64" s="8"/>
      <c r="B64">
        <v>20.09</v>
      </c>
      <c r="C64">
        <v>60</v>
      </c>
      <c r="D64">
        <v>59</v>
      </c>
      <c r="E64">
        <v>60</v>
      </c>
      <c r="F64">
        <v>7.09</v>
      </c>
    </row>
    <row r="65" spans="1:6" x14ac:dyDescent="0.2">
      <c r="A65" s="8"/>
      <c r="B65">
        <v>60</v>
      </c>
      <c r="C65">
        <v>45.11</v>
      </c>
      <c r="D65">
        <v>60</v>
      </c>
      <c r="E65">
        <v>60</v>
      </c>
      <c r="F65">
        <v>15.46</v>
      </c>
    </row>
    <row r="66" spans="1:6" x14ac:dyDescent="0.2">
      <c r="A66" s="8" t="s">
        <v>205</v>
      </c>
      <c r="B66">
        <v>38.97</v>
      </c>
      <c r="C66">
        <v>32.92</v>
      </c>
      <c r="D66">
        <v>37.299999999999997</v>
      </c>
      <c r="E66">
        <v>20.96</v>
      </c>
      <c r="F66">
        <v>60</v>
      </c>
    </row>
    <row r="67" spans="1:6" x14ac:dyDescent="0.2">
      <c r="A67" s="8"/>
      <c r="B67">
        <v>60</v>
      </c>
      <c r="C67">
        <v>19.86</v>
      </c>
      <c r="D67">
        <v>60</v>
      </c>
      <c r="E67">
        <v>24.28</v>
      </c>
      <c r="F67">
        <v>4.32</v>
      </c>
    </row>
    <row r="68" spans="1:6" x14ac:dyDescent="0.2">
      <c r="A68" s="8"/>
      <c r="B68">
        <v>60</v>
      </c>
      <c r="C68">
        <v>55.72</v>
      </c>
      <c r="D68">
        <v>15.58</v>
      </c>
      <c r="E68">
        <v>60</v>
      </c>
      <c r="F68">
        <v>2.4700000000000002</v>
      </c>
    </row>
    <row r="69" spans="1:6" x14ac:dyDescent="0.2">
      <c r="A69" s="8"/>
      <c r="B69">
        <v>60</v>
      </c>
      <c r="C69">
        <v>60</v>
      </c>
      <c r="D69">
        <v>38.479999999999997</v>
      </c>
      <c r="E69">
        <v>42.67</v>
      </c>
      <c r="F69">
        <v>60</v>
      </c>
    </row>
    <row r="70" spans="1:6" x14ac:dyDescent="0.2">
      <c r="A70" s="8" t="s">
        <v>204</v>
      </c>
      <c r="B70">
        <v>60</v>
      </c>
      <c r="C70">
        <v>60</v>
      </c>
      <c r="D70">
        <v>5.87</v>
      </c>
      <c r="E70">
        <v>17.440000000000001</v>
      </c>
      <c r="F70">
        <v>18.77</v>
      </c>
    </row>
    <row r="71" spans="1:6" x14ac:dyDescent="0.2">
      <c r="A71" s="8"/>
      <c r="B71">
        <v>60</v>
      </c>
      <c r="C71">
        <v>60</v>
      </c>
      <c r="D71">
        <v>55.84</v>
      </c>
      <c r="E71">
        <v>14.59</v>
      </c>
      <c r="F71">
        <v>31.78</v>
      </c>
    </row>
    <row r="72" spans="1:6" x14ac:dyDescent="0.2">
      <c r="A72" s="8"/>
      <c r="B72">
        <v>60</v>
      </c>
      <c r="C72">
        <v>22.83</v>
      </c>
      <c r="D72">
        <v>3.39</v>
      </c>
      <c r="E72">
        <v>8.81</v>
      </c>
      <c r="F72">
        <v>60</v>
      </c>
    </row>
    <row r="73" spans="1:6" x14ac:dyDescent="0.2">
      <c r="A73" s="8"/>
      <c r="B73">
        <v>12.18</v>
      </c>
      <c r="C73">
        <v>60</v>
      </c>
      <c r="D73">
        <v>4.8899999999999997</v>
      </c>
      <c r="E73">
        <v>37.11</v>
      </c>
      <c r="F73">
        <v>6.21</v>
      </c>
    </row>
    <row r="74" spans="1:6" x14ac:dyDescent="0.2">
      <c r="A74" s="8" t="s">
        <v>203</v>
      </c>
      <c r="B74">
        <v>60</v>
      </c>
      <c r="C74">
        <v>14.49</v>
      </c>
      <c r="D74">
        <v>41.58</v>
      </c>
      <c r="E74">
        <v>3.75</v>
      </c>
      <c r="F74">
        <v>13.07</v>
      </c>
    </row>
    <row r="75" spans="1:6" x14ac:dyDescent="0.2">
      <c r="A75" s="8"/>
      <c r="B75">
        <v>60</v>
      </c>
      <c r="C75">
        <v>23.78</v>
      </c>
      <c r="D75">
        <v>21.8</v>
      </c>
      <c r="E75">
        <v>7.81</v>
      </c>
      <c r="F75">
        <v>3.23</v>
      </c>
    </row>
    <row r="76" spans="1:6" x14ac:dyDescent="0.2">
      <c r="A76" s="8"/>
      <c r="B76">
        <v>6.95</v>
      </c>
      <c r="C76">
        <v>60</v>
      </c>
      <c r="D76">
        <v>2.13</v>
      </c>
      <c r="E76">
        <v>7.77</v>
      </c>
      <c r="F76">
        <v>43.14</v>
      </c>
    </row>
    <row r="77" spans="1:6" x14ac:dyDescent="0.2">
      <c r="A77" s="8"/>
      <c r="B77">
        <v>60</v>
      </c>
      <c r="C77">
        <v>60</v>
      </c>
      <c r="D77">
        <v>15.11</v>
      </c>
      <c r="E77">
        <v>60</v>
      </c>
      <c r="F77">
        <v>41.12</v>
      </c>
    </row>
    <row r="78" spans="1:6" x14ac:dyDescent="0.2">
      <c r="A78" s="8" t="s">
        <v>202</v>
      </c>
      <c r="B78">
        <v>58.4</v>
      </c>
      <c r="C78">
        <v>2.06</v>
      </c>
      <c r="D78">
        <v>7.8</v>
      </c>
      <c r="E78">
        <v>24.87</v>
      </c>
      <c r="F78">
        <v>56.8</v>
      </c>
    </row>
    <row r="79" spans="1:6" x14ac:dyDescent="0.2">
      <c r="A79" s="8"/>
      <c r="B79">
        <v>25.71</v>
      </c>
      <c r="C79">
        <v>32.35</v>
      </c>
      <c r="D79">
        <v>60</v>
      </c>
      <c r="E79">
        <v>32.33</v>
      </c>
      <c r="F79">
        <v>60</v>
      </c>
    </row>
    <row r="80" spans="1:6" x14ac:dyDescent="0.2">
      <c r="A80" s="8"/>
      <c r="B80">
        <v>51.94</v>
      </c>
      <c r="C80">
        <v>18.46</v>
      </c>
      <c r="D80">
        <v>34.39</v>
      </c>
      <c r="E80">
        <v>4.58</v>
      </c>
      <c r="F80">
        <v>5.59</v>
      </c>
    </row>
    <row r="81" spans="1:6" x14ac:dyDescent="0.2">
      <c r="A81" s="8"/>
      <c r="B81">
        <v>28.01</v>
      </c>
      <c r="C81">
        <v>39.479999999999997</v>
      </c>
      <c r="D81">
        <v>60</v>
      </c>
      <c r="E81">
        <v>0.97</v>
      </c>
      <c r="F81">
        <v>2.02</v>
      </c>
    </row>
  </sheetData>
  <mergeCells count="22">
    <mergeCell ref="A46:A49"/>
    <mergeCell ref="A22:A25"/>
    <mergeCell ref="A30:A33"/>
    <mergeCell ref="A34:A37"/>
    <mergeCell ref="A38:A41"/>
    <mergeCell ref="A42:A45"/>
    <mergeCell ref="A6:A9"/>
    <mergeCell ref="A50:A53"/>
    <mergeCell ref="A26:A29"/>
    <mergeCell ref="A78:A81"/>
    <mergeCell ref="L1:Q1"/>
    <mergeCell ref="L24:Q24"/>
    <mergeCell ref="A54:A57"/>
    <mergeCell ref="A58:A61"/>
    <mergeCell ref="A62:A65"/>
    <mergeCell ref="A66:A69"/>
    <mergeCell ref="A70:A73"/>
    <mergeCell ref="A74:A77"/>
    <mergeCell ref="A2:A5"/>
    <mergeCell ref="A10:A13"/>
    <mergeCell ref="A14:A17"/>
    <mergeCell ref="A18:A2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C883-940D-4527-95FD-C826E01E1634}">
  <dimension ref="A1:X5"/>
  <sheetViews>
    <sheetView workbookViewId="0">
      <selection activeCell="B2" sqref="B2:U3"/>
    </sheetView>
  </sheetViews>
  <sheetFormatPr baseColWidth="10" defaultColWidth="8.83203125" defaultRowHeight="15" x14ac:dyDescent="0.2"/>
  <cols>
    <col min="1" max="1" width="22" customWidth="1"/>
  </cols>
  <sheetData>
    <row r="1" spans="1:24" x14ac:dyDescent="0.2">
      <c r="B1" s="8" t="s">
        <v>215</v>
      </c>
      <c r="C1" s="8"/>
      <c r="D1" s="8"/>
      <c r="E1" s="8"/>
      <c r="F1" s="8"/>
      <c r="G1" s="8"/>
      <c r="H1" s="8"/>
      <c r="I1" s="8"/>
      <c r="J1" s="8"/>
      <c r="K1" s="8"/>
      <c r="L1" s="8" t="s">
        <v>214</v>
      </c>
      <c r="M1" s="8"/>
      <c r="N1" s="8"/>
      <c r="O1" s="8"/>
      <c r="P1" s="8"/>
      <c r="Q1" s="8"/>
      <c r="R1" s="8"/>
      <c r="S1" s="8"/>
      <c r="T1" s="8"/>
      <c r="U1" s="8"/>
      <c r="V1" s="8" t="s">
        <v>153</v>
      </c>
      <c r="W1" s="8"/>
      <c r="X1" s="8" t="s">
        <v>152</v>
      </c>
    </row>
    <row r="2" spans="1:24" x14ac:dyDescent="0.2">
      <c r="B2" s="8" t="s">
        <v>232</v>
      </c>
      <c r="C2" s="8" t="s">
        <v>230</v>
      </c>
      <c r="D2" s="8" t="s">
        <v>228</v>
      </c>
      <c r="E2" s="8" t="s">
        <v>227</v>
      </c>
      <c r="F2" s="8" t="s">
        <v>225</v>
      </c>
      <c r="G2" s="8" t="s">
        <v>223</v>
      </c>
      <c r="H2" s="8" t="s">
        <v>216</v>
      </c>
      <c r="I2" s="8" t="s">
        <v>213</v>
      </c>
      <c r="J2" s="8" t="s">
        <v>212</v>
      </c>
      <c r="K2" s="8" t="s">
        <v>211</v>
      </c>
      <c r="L2" s="8" t="s">
        <v>32</v>
      </c>
      <c r="M2" s="8" t="s">
        <v>210</v>
      </c>
      <c r="N2" s="8" t="s">
        <v>209</v>
      </c>
      <c r="O2" s="8" t="s">
        <v>208</v>
      </c>
      <c r="P2" s="8" t="s">
        <v>207</v>
      </c>
      <c r="Q2" s="8" t="s">
        <v>206</v>
      </c>
      <c r="R2" s="8" t="s">
        <v>205</v>
      </c>
      <c r="S2" s="8" t="s">
        <v>204</v>
      </c>
      <c r="T2" s="8" t="s">
        <v>203</v>
      </c>
      <c r="U2" s="8" t="s">
        <v>202</v>
      </c>
      <c r="V2" s="8" t="s">
        <v>215</v>
      </c>
      <c r="W2" s="8" t="s">
        <v>214</v>
      </c>
      <c r="X2" s="8"/>
    </row>
    <row r="3" spans="1:24" x14ac:dyDescent="0.2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x14ac:dyDescent="0.2">
      <c r="A4" t="s">
        <v>235</v>
      </c>
      <c r="B4">
        <v>9</v>
      </c>
      <c r="C4">
        <v>12</v>
      </c>
      <c r="D4">
        <v>6</v>
      </c>
      <c r="E4">
        <v>9</v>
      </c>
      <c r="F4">
        <v>8</v>
      </c>
      <c r="G4">
        <v>6</v>
      </c>
      <c r="H4">
        <v>7</v>
      </c>
      <c r="I4">
        <v>30</v>
      </c>
      <c r="J4">
        <v>7</v>
      </c>
      <c r="K4">
        <v>18</v>
      </c>
      <c r="L4">
        <v>49</v>
      </c>
      <c r="M4">
        <v>16</v>
      </c>
      <c r="N4">
        <v>14</v>
      </c>
      <c r="O4">
        <v>22</v>
      </c>
      <c r="P4">
        <v>22</v>
      </c>
      <c r="Q4">
        <v>42</v>
      </c>
      <c r="R4">
        <v>13</v>
      </c>
      <c r="S4">
        <v>21</v>
      </c>
      <c r="T4">
        <v>17</v>
      </c>
      <c r="U4">
        <v>25</v>
      </c>
      <c r="V4">
        <f>AVERAGE(B4:K4)</f>
        <v>11.2</v>
      </c>
      <c r="W4">
        <f>AVERAGE(L4:U4)</f>
        <v>24.1</v>
      </c>
      <c r="X4">
        <v>4.0000000000000001E-3</v>
      </c>
    </row>
    <row r="5" spans="1:24" x14ac:dyDescent="0.2">
      <c r="A5" t="s">
        <v>234</v>
      </c>
      <c r="B5">
        <v>5</v>
      </c>
      <c r="C5">
        <v>3</v>
      </c>
      <c r="D5">
        <v>3</v>
      </c>
      <c r="E5">
        <v>3</v>
      </c>
      <c r="F5">
        <v>3</v>
      </c>
      <c r="G5">
        <v>6</v>
      </c>
      <c r="H5">
        <v>3</v>
      </c>
      <c r="I5">
        <v>3</v>
      </c>
      <c r="J5">
        <v>7</v>
      </c>
      <c r="K5">
        <v>3</v>
      </c>
      <c r="L5">
        <v>1</v>
      </c>
      <c r="M5">
        <v>2</v>
      </c>
      <c r="N5">
        <v>2</v>
      </c>
      <c r="O5">
        <v>2</v>
      </c>
      <c r="P5">
        <v>0</v>
      </c>
      <c r="Q5">
        <v>2</v>
      </c>
      <c r="R5">
        <v>1</v>
      </c>
      <c r="S5">
        <v>1</v>
      </c>
      <c r="T5">
        <v>2</v>
      </c>
      <c r="U5">
        <v>1</v>
      </c>
      <c r="V5">
        <f>AVERAGE(B5:K5)</f>
        <v>3.9</v>
      </c>
      <c r="W5">
        <f>AVERAGE(L5:U5)</f>
        <v>1.4</v>
      </c>
      <c r="X5">
        <v>9.2999999999999997E-5</v>
      </c>
    </row>
  </sheetData>
  <mergeCells count="26">
    <mergeCell ref="L2:L3"/>
    <mergeCell ref="R2:R3"/>
    <mergeCell ref="S2:S3"/>
    <mergeCell ref="T2:T3"/>
    <mergeCell ref="U2:U3"/>
    <mergeCell ref="M2:M3"/>
    <mergeCell ref="N2:N3"/>
    <mergeCell ref="O2:O3"/>
    <mergeCell ref="P2:P3"/>
    <mergeCell ref="Q2:Q3"/>
    <mergeCell ref="K2:K3"/>
    <mergeCell ref="X1:X3"/>
    <mergeCell ref="B1:K1"/>
    <mergeCell ref="L1:U1"/>
    <mergeCell ref="V1:W1"/>
    <mergeCell ref="V2:V3"/>
    <mergeCell ref="W2:W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B585-3117-48CB-A479-EB18B299B88B}">
  <dimension ref="A1:Q81"/>
  <sheetViews>
    <sheetView workbookViewId="0">
      <selection activeCell="L27" sqref="L27"/>
    </sheetView>
  </sheetViews>
  <sheetFormatPr baseColWidth="10" defaultColWidth="8.83203125" defaultRowHeight="15" x14ac:dyDescent="0.2"/>
  <cols>
    <col min="3" max="3" width="9.6640625" customWidth="1"/>
  </cols>
  <sheetData>
    <row r="1" spans="1:17" x14ac:dyDescent="0.2">
      <c r="B1" t="s">
        <v>221</v>
      </c>
      <c r="C1" s="1" t="s">
        <v>220</v>
      </c>
      <c r="D1" s="1" t="s">
        <v>219</v>
      </c>
      <c r="E1" s="1" t="s">
        <v>218</v>
      </c>
      <c r="F1" s="1" t="s">
        <v>217</v>
      </c>
      <c r="G1" s="1"/>
      <c r="L1" s="8" t="s">
        <v>233</v>
      </c>
      <c r="M1" s="8"/>
      <c r="N1" s="8"/>
      <c r="O1" s="8"/>
      <c r="P1" s="8"/>
      <c r="Q1" s="8"/>
    </row>
    <row r="2" spans="1:17" x14ac:dyDescent="0.2">
      <c r="A2" s="8" t="s">
        <v>248</v>
      </c>
      <c r="B2">
        <v>33.24</v>
      </c>
      <c r="C2">
        <v>8.33</v>
      </c>
      <c r="D2">
        <v>25.46</v>
      </c>
      <c r="E2">
        <v>16.22</v>
      </c>
      <c r="F2">
        <v>9.81</v>
      </c>
      <c r="M2" t="s">
        <v>221</v>
      </c>
      <c r="N2" t="s">
        <v>220</v>
      </c>
      <c r="O2" t="s">
        <v>219</v>
      </c>
      <c r="P2" t="s">
        <v>218</v>
      </c>
      <c r="Q2" t="s">
        <v>217</v>
      </c>
    </row>
    <row r="3" spans="1:17" x14ac:dyDescent="0.2">
      <c r="A3" s="8"/>
      <c r="B3">
        <v>22.15</v>
      </c>
      <c r="C3">
        <v>59</v>
      </c>
      <c r="D3">
        <v>50.56</v>
      </c>
      <c r="E3">
        <v>16.46</v>
      </c>
      <c r="F3">
        <v>36.04</v>
      </c>
      <c r="L3" t="s">
        <v>248</v>
      </c>
      <c r="M3">
        <f>AVERAGE(B2:B5)</f>
        <v>29.852499999999999</v>
      </c>
      <c r="N3">
        <f>AVERAGE(C2:C5)</f>
        <v>23.645</v>
      </c>
      <c r="O3">
        <f>AVERAGE(D2:D5)</f>
        <v>36.015000000000001</v>
      </c>
      <c r="P3">
        <f>AVERAGE(E2:E5)</f>
        <v>21.294999999999998</v>
      </c>
      <c r="Q3">
        <f>AVERAGE(F2:F5)</f>
        <v>19.447500000000002</v>
      </c>
    </row>
    <row r="4" spans="1:17" x14ac:dyDescent="0.2">
      <c r="A4" s="8"/>
      <c r="B4">
        <v>4.0199999999999996</v>
      </c>
      <c r="C4">
        <v>18.41</v>
      </c>
      <c r="D4">
        <v>12.48</v>
      </c>
      <c r="E4">
        <v>40.61</v>
      </c>
      <c r="F4">
        <v>5.99</v>
      </c>
      <c r="L4" t="s">
        <v>191</v>
      </c>
      <c r="M4">
        <f>AVERAGE(B6:B9)</f>
        <v>56.855000000000004</v>
      </c>
      <c r="N4">
        <f>AVERAGE(C6:C9)</f>
        <v>39.370000000000005</v>
      </c>
      <c r="O4">
        <f>AVERAGE(D6:D9)</f>
        <v>51.432499999999997</v>
      </c>
      <c r="P4">
        <f>AVERAGE(E6:E9)</f>
        <v>33.412500000000001</v>
      </c>
      <c r="Q4">
        <f>AVERAGE(F6:F9)</f>
        <v>43.137500000000003</v>
      </c>
    </row>
    <row r="5" spans="1:17" x14ac:dyDescent="0.2">
      <c r="A5" s="8"/>
      <c r="B5">
        <v>60</v>
      </c>
      <c r="C5">
        <v>8.84</v>
      </c>
      <c r="D5">
        <v>55.56</v>
      </c>
      <c r="E5">
        <v>11.89</v>
      </c>
      <c r="F5">
        <v>25.95</v>
      </c>
      <c r="L5" t="s">
        <v>192</v>
      </c>
      <c r="M5">
        <f>AVERAGE(B10:B13)</f>
        <v>43.515000000000001</v>
      </c>
      <c r="N5">
        <f>AVERAGE(C10:C13)</f>
        <v>44.53</v>
      </c>
      <c r="O5">
        <f>AVERAGE(D10:D13)</f>
        <v>15.360000000000001</v>
      </c>
      <c r="P5">
        <f>AVERAGE(E10:E13)</f>
        <v>25.445</v>
      </c>
      <c r="Q5">
        <f>AVERAGE(F10:F13)</f>
        <v>27.702500000000001</v>
      </c>
    </row>
    <row r="6" spans="1:17" x14ac:dyDescent="0.2">
      <c r="A6" s="8" t="s">
        <v>191</v>
      </c>
      <c r="B6">
        <v>60</v>
      </c>
      <c r="C6">
        <v>60</v>
      </c>
      <c r="D6">
        <v>60</v>
      </c>
      <c r="E6">
        <v>60</v>
      </c>
      <c r="F6">
        <v>8.75</v>
      </c>
      <c r="L6" t="s">
        <v>193</v>
      </c>
      <c r="M6">
        <f>AVERAGE(B14:B17)</f>
        <v>59.75</v>
      </c>
      <c r="N6">
        <f>AVERAGE(C14:C17)</f>
        <v>46.922499999999999</v>
      </c>
      <c r="O6">
        <f>AVERAGE(D14:D17)</f>
        <v>21.075000000000003</v>
      </c>
      <c r="P6">
        <f>AVERAGE(E14:E17)</f>
        <v>16.454999999999998</v>
      </c>
      <c r="Q6">
        <f>AVERAGE(F14:F17)</f>
        <v>17.155000000000001</v>
      </c>
    </row>
    <row r="7" spans="1:17" x14ac:dyDescent="0.2">
      <c r="A7" s="8"/>
      <c r="B7">
        <v>60</v>
      </c>
      <c r="C7">
        <v>52.77</v>
      </c>
      <c r="D7">
        <v>60</v>
      </c>
      <c r="E7">
        <v>48.71</v>
      </c>
      <c r="F7">
        <v>60</v>
      </c>
      <c r="L7" t="s">
        <v>194</v>
      </c>
      <c r="M7">
        <f>AVERAGE(B18:B21)</f>
        <v>30.012500000000003</v>
      </c>
      <c r="N7">
        <f>AVERAGE(C18:C21)</f>
        <v>39.172499999999999</v>
      </c>
      <c r="O7">
        <f>AVERAGE(D18:D21)</f>
        <v>37.237499999999997</v>
      </c>
      <c r="P7">
        <f>AVERAGE(E18:E21)</f>
        <v>40.375</v>
      </c>
      <c r="Q7">
        <f>AVERAGE(F18:F21)</f>
        <v>19.88</v>
      </c>
    </row>
    <row r="8" spans="1:17" x14ac:dyDescent="0.2">
      <c r="A8" s="8"/>
      <c r="B8">
        <v>59</v>
      </c>
      <c r="C8">
        <v>39.39</v>
      </c>
      <c r="D8">
        <v>25.73</v>
      </c>
      <c r="E8">
        <v>17.72</v>
      </c>
      <c r="F8">
        <v>43.8</v>
      </c>
      <c r="L8" t="s">
        <v>195</v>
      </c>
      <c r="M8">
        <f>AVERAGE(B22:B25)</f>
        <v>59.25</v>
      </c>
      <c r="N8">
        <f>AVERAGE(C22:C25)</f>
        <v>40.134999999999998</v>
      </c>
      <c r="O8">
        <f>AVERAGE(D22:D25)</f>
        <v>32.075000000000003</v>
      </c>
      <c r="P8">
        <f>AVERAGE(E22:E25)</f>
        <v>26.6175</v>
      </c>
      <c r="Q8">
        <f>AVERAGE(F22:F25)</f>
        <v>23.657499999999999</v>
      </c>
    </row>
    <row r="9" spans="1:17" x14ac:dyDescent="0.2">
      <c r="A9" s="8"/>
      <c r="B9">
        <v>48.42</v>
      </c>
      <c r="C9">
        <v>5.32</v>
      </c>
      <c r="D9">
        <v>60</v>
      </c>
      <c r="E9">
        <v>7.22</v>
      </c>
      <c r="F9">
        <v>60</v>
      </c>
      <c r="L9" t="s">
        <v>247</v>
      </c>
      <c r="M9">
        <f>AVERAGE(B26:B29)</f>
        <v>47.652500000000003</v>
      </c>
      <c r="N9">
        <f>AVERAGE(C26:C29)</f>
        <v>30.9375</v>
      </c>
      <c r="O9">
        <f>AVERAGE(D26:D29)</f>
        <v>19.97</v>
      </c>
      <c r="P9">
        <f>AVERAGE(E26:E29)</f>
        <v>21.982500000000002</v>
      </c>
      <c r="Q9">
        <f>AVERAGE(F26:F29)</f>
        <v>13.745000000000001</v>
      </c>
    </row>
    <row r="10" spans="1:17" x14ac:dyDescent="0.2">
      <c r="A10" s="8" t="s">
        <v>192</v>
      </c>
      <c r="B10">
        <v>40.69</v>
      </c>
      <c r="C10">
        <v>13.44</v>
      </c>
      <c r="D10">
        <v>4.41</v>
      </c>
      <c r="E10">
        <v>15.93</v>
      </c>
      <c r="F10">
        <v>19.59</v>
      </c>
      <c r="L10" t="s">
        <v>244</v>
      </c>
      <c r="M10">
        <f>AVERAGE(B30:B33)</f>
        <v>35.405000000000001</v>
      </c>
      <c r="N10">
        <f>AVERAGE(C30:C33)</f>
        <v>36.58</v>
      </c>
      <c r="O10">
        <f>AVERAGE(D30:D33)</f>
        <v>22.0075</v>
      </c>
      <c r="P10">
        <f>AVERAGE(E30:E33)</f>
        <v>16.454999999999998</v>
      </c>
      <c r="Q10">
        <f>AVERAGE(F30:F33)</f>
        <v>16.247499999999999</v>
      </c>
    </row>
    <row r="11" spans="1:17" x14ac:dyDescent="0.2">
      <c r="A11" s="8"/>
      <c r="B11">
        <v>59</v>
      </c>
      <c r="C11">
        <v>44.68</v>
      </c>
      <c r="D11">
        <v>37.07</v>
      </c>
      <c r="E11">
        <v>39.9</v>
      </c>
      <c r="F11">
        <v>60</v>
      </c>
      <c r="L11" t="s">
        <v>243</v>
      </c>
      <c r="M11">
        <f>AVERAGE(B34:B37)</f>
        <v>46.662500000000001</v>
      </c>
      <c r="N11">
        <f>AVERAGE(C34:C37)</f>
        <v>37.380000000000003</v>
      </c>
      <c r="O11">
        <f>AVERAGE(D34:D37)</f>
        <v>24.3125</v>
      </c>
      <c r="P11">
        <f>AVERAGE(E34:E37)</f>
        <v>31.327500000000001</v>
      </c>
      <c r="Q11">
        <f>AVERAGE(F34:F37)</f>
        <v>35.127499999999998</v>
      </c>
    </row>
    <row r="12" spans="1:17" x14ac:dyDescent="0.2">
      <c r="A12" s="8"/>
      <c r="B12">
        <v>60</v>
      </c>
      <c r="C12">
        <v>60</v>
      </c>
      <c r="D12">
        <v>7.29</v>
      </c>
      <c r="E12">
        <v>15.24</v>
      </c>
      <c r="F12">
        <v>5.18</v>
      </c>
      <c r="L12" t="s">
        <v>242</v>
      </c>
      <c r="M12">
        <f>AVERAGE(B38:B41)</f>
        <v>28.012500000000003</v>
      </c>
      <c r="N12">
        <f>AVERAGE(C38:C41)</f>
        <v>26.947499999999998</v>
      </c>
      <c r="O12">
        <f>AVERAGE(D38:D41)</f>
        <v>37.155000000000001</v>
      </c>
      <c r="P12">
        <f>AVERAGE(E38:E41)</f>
        <v>36.1</v>
      </c>
      <c r="Q12">
        <f>AVERAGE(F38:F41)</f>
        <v>34.232500000000002</v>
      </c>
    </row>
    <row r="13" spans="1:17" x14ac:dyDescent="0.2">
      <c r="A13" s="8"/>
      <c r="B13">
        <v>14.37</v>
      </c>
      <c r="C13">
        <v>60</v>
      </c>
      <c r="D13">
        <v>12.67</v>
      </c>
      <c r="E13">
        <v>30.71</v>
      </c>
      <c r="F13">
        <v>26.04</v>
      </c>
      <c r="L13" t="s">
        <v>241</v>
      </c>
      <c r="M13">
        <f>AVERAGE(B42:B45)</f>
        <v>59.75</v>
      </c>
      <c r="N13">
        <f>AVERAGE(C42:C45)</f>
        <v>46.66</v>
      </c>
      <c r="O13">
        <f>AVERAGE(D42:D45)</f>
        <v>33.722499999999997</v>
      </c>
      <c r="P13">
        <f>AVERAGE(E42:E45)</f>
        <v>30.175000000000001</v>
      </c>
      <c r="Q13">
        <f>AVERAGE(F42:F45)</f>
        <v>14.67</v>
      </c>
    </row>
    <row r="14" spans="1:17" x14ac:dyDescent="0.2">
      <c r="A14" s="8" t="s">
        <v>193</v>
      </c>
      <c r="B14">
        <v>60</v>
      </c>
      <c r="C14">
        <v>60</v>
      </c>
      <c r="D14">
        <v>23.21</v>
      </c>
      <c r="E14">
        <v>11.85</v>
      </c>
      <c r="F14">
        <v>27.76</v>
      </c>
      <c r="L14" t="s">
        <v>240</v>
      </c>
      <c r="M14">
        <f>AVERAGE(B46:B49)</f>
        <v>40.739999999999995</v>
      </c>
      <c r="N14">
        <f>AVERAGE(C46:C49)</f>
        <v>32.117500000000007</v>
      </c>
      <c r="O14">
        <f>AVERAGE(D46:D49)</f>
        <v>14.1675</v>
      </c>
      <c r="P14">
        <f>AVERAGE(E46:E49)</f>
        <v>28.77</v>
      </c>
      <c r="Q14">
        <f>AVERAGE(F46:F49)</f>
        <v>18.1175</v>
      </c>
    </row>
    <row r="15" spans="1:17" x14ac:dyDescent="0.2">
      <c r="A15" s="8"/>
      <c r="B15">
        <v>60</v>
      </c>
      <c r="C15">
        <v>59</v>
      </c>
      <c r="D15">
        <v>17.88</v>
      </c>
      <c r="E15">
        <v>6.93</v>
      </c>
      <c r="F15">
        <v>12.18</v>
      </c>
      <c r="L15" t="s">
        <v>198</v>
      </c>
      <c r="M15">
        <f>AVERAGE(B50:B53)</f>
        <v>47.2425</v>
      </c>
      <c r="N15">
        <f>AVERAGE(C50:C53)</f>
        <v>49.3825</v>
      </c>
      <c r="O15">
        <f>AVERAGE(D50:D53)</f>
        <v>19.6675</v>
      </c>
      <c r="P15">
        <f>AVERAGE(E50:E53)</f>
        <v>30.04</v>
      </c>
      <c r="Q15">
        <f>AVERAGE(F50:F53)</f>
        <v>25.232500000000002</v>
      </c>
    </row>
    <row r="16" spans="1:17" x14ac:dyDescent="0.2">
      <c r="A16" s="8"/>
      <c r="B16">
        <v>60</v>
      </c>
      <c r="C16">
        <v>60</v>
      </c>
      <c r="D16">
        <v>23.48</v>
      </c>
      <c r="E16">
        <v>31.69</v>
      </c>
      <c r="F16">
        <v>18.53</v>
      </c>
      <c r="L16" t="s">
        <v>199</v>
      </c>
      <c r="M16">
        <f>AVERAGE(B54:B57)</f>
        <v>60</v>
      </c>
      <c r="N16">
        <f>AVERAGE(C54:C57)</f>
        <v>26.677500000000002</v>
      </c>
      <c r="O16">
        <f>AVERAGE(D54:D57)</f>
        <v>40.872500000000002</v>
      </c>
      <c r="P16">
        <f>AVERAGE(E54:E57)</f>
        <v>21.642499999999998</v>
      </c>
      <c r="Q16">
        <f>AVERAGE(F54:F57)</f>
        <v>9.51</v>
      </c>
    </row>
    <row r="17" spans="1:17" x14ac:dyDescent="0.2">
      <c r="A17" s="8"/>
      <c r="B17">
        <v>59</v>
      </c>
      <c r="C17">
        <v>8.69</v>
      </c>
      <c r="D17">
        <v>19.73</v>
      </c>
      <c r="E17">
        <v>15.35</v>
      </c>
      <c r="F17">
        <v>10.15</v>
      </c>
      <c r="L17" t="s">
        <v>200</v>
      </c>
      <c r="M17">
        <f>AVERAGE(B58:B61)</f>
        <v>25.677499999999998</v>
      </c>
      <c r="N17">
        <f>AVERAGE(C58:C61)</f>
        <v>22.875</v>
      </c>
      <c r="O17">
        <f>AVERAGE(D58:D61)</f>
        <v>45.652500000000003</v>
      </c>
      <c r="P17">
        <f>AVERAGE(E58:E61)</f>
        <v>19.34</v>
      </c>
      <c r="Q17">
        <f>AVERAGE(F58:F61)</f>
        <v>13.884999999999998</v>
      </c>
    </row>
    <row r="18" spans="1:17" x14ac:dyDescent="0.2">
      <c r="A18" s="8" t="s">
        <v>194</v>
      </c>
      <c r="B18">
        <v>16.149999999999999</v>
      </c>
      <c r="C18">
        <v>25.8</v>
      </c>
      <c r="D18">
        <v>34.26</v>
      </c>
      <c r="E18">
        <v>5.05</v>
      </c>
      <c r="F18">
        <v>11.76</v>
      </c>
      <c r="L18" t="s">
        <v>201</v>
      </c>
      <c r="M18">
        <f>AVERAGE(B62:B65)</f>
        <v>31.035</v>
      </c>
      <c r="N18">
        <f>AVERAGE(C62:C65)</f>
        <v>46.112500000000004</v>
      </c>
      <c r="O18">
        <f>AVERAGE(D62:D65)</f>
        <v>21.464999999999996</v>
      </c>
      <c r="P18">
        <f>AVERAGE(E62:E65)</f>
        <v>31.112500000000001</v>
      </c>
      <c r="Q18">
        <f>AVERAGE(F62:F65)</f>
        <v>26.947500000000002</v>
      </c>
    </row>
    <row r="19" spans="1:17" x14ac:dyDescent="0.2">
      <c r="A19" s="8"/>
      <c r="B19">
        <v>9.8000000000000007</v>
      </c>
      <c r="C19">
        <v>10.89</v>
      </c>
      <c r="D19">
        <v>60</v>
      </c>
      <c r="E19">
        <v>60</v>
      </c>
      <c r="F19">
        <v>10.52</v>
      </c>
      <c r="L19" t="s">
        <v>239</v>
      </c>
      <c r="M19">
        <f>AVERAGE(B66:B69)</f>
        <v>32.774999999999999</v>
      </c>
      <c r="N19">
        <f>AVERAGE(C66:C69)</f>
        <v>22.127500000000001</v>
      </c>
      <c r="O19">
        <f>AVERAGE(D66:D69)</f>
        <v>10.602499999999999</v>
      </c>
      <c r="P19">
        <f>AVERAGE(E66:E69)</f>
        <v>14.527500000000002</v>
      </c>
      <c r="Q19">
        <f>AVERAGE(F66:F69)</f>
        <v>27.672500000000003</v>
      </c>
    </row>
    <row r="20" spans="1:17" x14ac:dyDescent="0.2">
      <c r="A20" s="8"/>
      <c r="B20">
        <v>60</v>
      </c>
      <c r="C20">
        <v>60</v>
      </c>
      <c r="D20">
        <v>39.659999999999997</v>
      </c>
      <c r="E20">
        <v>44.24</v>
      </c>
      <c r="F20">
        <v>42.76</v>
      </c>
      <c r="L20" t="s">
        <v>238</v>
      </c>
      <c r="M20">
        <f>AVERAGE(B70:B73)</f>
        <v>22.125</v>
      </c>
      <c r="N20">
        <f>AVERAGE(C70:C73)</f>
        <v>38.477499999999999</v>
      </c>
      <c r="O20">
        <f>AVERAGE(D70:D73)</f>
        <v>23.977500000000003</v>
      </c>
      <c r="P20">
        <f>AVERAGE(E70:E73)</f>
        <v>26.63</v>
      </c>
      <c r="Q20">
        <f>AVERAGE(F70:F73)</f>
        <v>22.06</v>
      </c>
    </row>
    <row r="21" spans="1:17" x14ac:dyDescent="0.2">
      <c r="A21" s="8"/>
      <c r="B21">
        <v>34.1</v>
      </c>
      <c r="C21">
        <v>60</v>
      </c>
      <c r="D21">
        <v>15.03</v>
      </c>
      <c r="E21">
        <v>52.21</v>
      </c>
      <c r="F21">
        <v>14.48</v>
      </c>
      <c r="L21" t="s">
        <v>237</v>
      </c>
      <c r="M21">
        <f>AVERAGE(B74:B77)</f>
        <v>59.75</v>
      </c>
      <c r="N21">
        <f>AVERAGE(C74:C77)</f>
        <v>48.385000000000005</v>
      </c>
      <c r="O21">
        <f>AVERAGE(D74:D77)</f>
        <v>15.862499999999999</v>
      </c>
      <c r="P21">
        <f>AVERAGE(E74:E77)</f>
        <v>15.219999999999999</v>
      </c>
      <c r="Q21">
        <f>AVERAGE(F74:F77)</f>
        <v>23.02</v>
      </c>
    </row>
    <row r="22" spans="1:17" x14ac:dyDescent="0.2">
      <c r="A22" s="8" t="s">
        <v>195</v>
      </c>
      <c r="B22">
        <v>59</v>
      </c>
      <c r="C22">
        <v>59</v>
      </c>
      <c r="D22">
        <v>15.52</v>
      </c>
      <c r="E22">
        <v>8.4600000000000009</v>
      </c>
      <c r="F22">
        <v>5.18</v>
      </c>
      <c r="L22" t="s">
        <v>236</v>
      </c>
      <c r="M22">
        <f>AVERAGE(B78:B81)</f>
        <v>59.5</v>
      </c>
      <c r="N22">
        <f>AVERAGE(C78:C81)</f>
        <v>31.467500000000001</v>
      </c>
      <c r="O22">
        <f>AVERAGE(D78:D81)</f>
        <v>44.914999999999999</v>
      </c>
      <c r="P22">
        <f>AVERAGE(E78:E81)</f>
        <v>21.05</v>
      </c>
      <c r="Q22">
        <f>AVERAGE(F78:F81)</f>
        <v>9.3449999999999989</v>
      </c>
    </row>
    <row r="23" spans="1:17" x14ac:dyDescent="0.2">
      <c r="A23" s="8"/>
      <c r="B23">
        <v>59</v>
      </c>
      <c r="C23">
        <v>30.79</v>
      </c>
      <c r="D23">
        <v>8.07</v>
      </c>
      <c r="E23">
        <v>21.63</v>
      </c>
      <c r="F23">
        <v>12.37</v>
      </c>
    </row>
    <row r="24" spans="1:17" x14ac:dyDescent="0.2">
      <c r="A24" s="8"/>
      <c r="B24">
        <v>60</v>
      </c>
      <c r="C24">
        <v>10.75</v>
      </c>
      <c r="D24">
        <v>60</v>
      </c>
      <c r="E24">
        <v>16.38</v>
      </c>
      <c r="F24">
        <v>17.079999999999998</v>
      </c>
      <c r="L24" s="8" t="s">
        <v>222</v>
      </c>
      <c r="M24" s="8"/>
      <c r="N24" s="8"/>
      <c r="O24" s="8"/>
      <c r="P24" s="8"/>
      <c r="Q24" s="8"/>
    </row>
    <row r="25" spans="1:17" x14ac:dyDescent="0.2">
      <c r="A25" s="8"/>
      <c r="B25">
        <v>59</v>
      </c>
      <c r="C25">
        <v>60</v>
      </c>
      <c r="D25">
        <v>44.71</v>
      </c>
      <c r="E25">
        <v>60</v>
      </c>
      <c r="F25">
        <v>60</v>
      </c>
      <c r="M25" t="s">
        <v>221</v>
      </c>
      <c r="N25" t="s">
        <v>220</v>
      </c>
      <c r="O25" t="s">
        <v>219</v>
      </c>
      <c r="P25" t="s">
        <v>218</v>
      </c>
      <c r="Q25" t="s">
        <v>217</v>
      </c>
    </row>
    <row r="26" spans="1:17" x14ac:dyDescent="0.2">
      <c r="A26" s="8" t="s">
        <v>247</v>
      </c>
      <c r="B26">
        <v>12.61</v>
      </c>
      <c r="C26">
        <v>46.69</v>
      </c>
      <c r="D26">
        <v>20.14</v>
      </c>
      <c r="E26">
        <v>15.81</v>
      </c>
      <c r="F26">
        <v>15.29</v>
      </c>
      <c r="L26" t="s">
        <v>246</v>
      </c>
      <c r="M26">
        <f>AVERAGE(M3:M12)</f>
        <v>43.696750000000002</v>
      </c>
      <c r="N26">
        <f>AVERAGE(N3:N12)</f>
        <v>36.561999999999998</v>
      </c>
      <c r="O26">
        <f>AVERAGE(O3:O12)</f>
        <v>29.663999999999998</v>
      </c>
      <c r="P26">
        <f>AVERAGE(P3:P12)</f>
        <v>26.946500000000004</v>
      </c>
      <c r="Q26">
        <f>AVERAGE(Q3:Q12)</f>
        <v>25.033250000000002</v>
      </c>
    </row>
    <row r="27" spans="1:17" x14ac:dyDescent="0.2">
      <c r="A27" s="8"/>
      <c r="B27">
        <v>60</v>
      </c>
      <c r="C27">
        <v>55.77</v>
      </c>
      <c r="D27">
        <v>9.86</v>
      </c>
      <c r="E27">
        <v>19.68</v>
      </c>
      <c r="F27">
        <v>23.24</v>
      </c>
      <c r="L27" t="s">
        <v>245</v>
      </c>
      <c r="M27">
        <f>AVERAGE(M13:M22)</f>
        <v>43.859499999999997</v>
      </c>
      <c r="N27">
        <f>AVERAGE(N13:N22)</f>
        <v>36.428250000000006</v>
      </c>
      <c r="O27">
        <f>AVERAGE(O13:O22)</f>
        <v>27.090500000000002</v>
      </c>
      <c r="P27">
        <f>AVERAGE(P13:P22)</f>
        <v>23.850750000000001</v>
      </c>
      <c r="Q27">
        <f>AVERAGE(Q13:Q22)</f>
        <v>19.045999999999999</v>
      </c>
    </row>
    <row r="28" spans="1:17" x14ac:dyDescent="0.2">
      <c r="A28" s="8"/>
      <c r="B28">
        <v>59</v>
      </c>
      <c r="C28">
        <v>9.02</v>
      </c>
      <c r="D28">
        <v>17.09</v>
      </c>
      <c r="E28">
        <v>25.34</v>
      </c>
      <c r="F28">
        <v>11.75</v>
      </c>
      <c r="L28" t="s">
        <v>152</v>
      </c>
      <c r="M28">
        <v>0.98</v>
      </c>
      <c r="N28">
        <v>0.97399999999999998</v>
      </c>
      <c r="O28">
        <v>0.64100000000000001</v>
      </c>
      <c r="P28">
        <v>0.35599999999999998</v>
      </c>
      <c r="Q28">
        <v>0.13</v>
      </c>
    </row>
    <row r="29" spans="1:17" x14ac:dyDescent="0.2">
      <c r="A29" s="8"/>
      <c r="B29">
        <v>59</v>
      </c>
      <c r="C29">
        <v>12.27</v>
      </c>
      <c r="D29">
        <v>32.79</v>
      </c>
      <c r="E29">
        <v>27.1</v>
      </c>
      <c r="F29">
        <v>4.7</v>
      </c>
    </row>
    <row r="30" spans="1:17" x14ac:dyDescent="0.2">
      <c r="A30" s="8" t="s">
        <v>244</v>
      </c>
      <c r="B30">
        <v>60</v>
      </c>
      <c r="C30">
        <v>60</v>
      </c>
      <c r="D30">
        <v>6.87</v>
      </c>
      <c r="E30">
        <v>9.35</v>
      </c>
      <c r="F30">
        <v>5.92</v>
      </c>
    </row>
    <row r="31" spans="1:17" x14ac:dyDescent="0.2">
      <c r="A31" s="8"/>
      <c r="B31">
        <v>44.34</v>
      </c>
      <c r="C31">
        <v>5.63</v>
      </c>
      <c r="D31">
        <v>16.579999999999998</v>
      </c>
      <c r="E31">
        <v>8.09</v>
      </c>
      <c r="F31">
        <v>22.92</v>
      </c>
    </row>
    <row r="32" spans="1:17" x14ac:dyDescent="0.2">
      <c r="A32" s="8"/>
      <c r="B32">
        <v>32.08</v>
      </c>
      <c r="C32">
        <v>20.69</v>
      </c>
      <c r="D32">
        <v>14.71</v>
      </c>
      <c r="E32">
        <v>33.92</v>
      </c>
      <c r="F32">
        <v>17.989999999999998</v>
      </c>
    </row>
    <row r="33" spans="1:6" x14ac:dyDescent="0.2">
      <c r="A33" s="8"/>
      <c r="B33">
        <v>5.2</v>
      </c>
      <c r="C33">
        <v>60</v>
      </c>
      <c r="D33">
        <v>49.87</v>
      </c>
      <c r="E33">
        <v>14.46</v>
      </c>
      <c r="F33">
        <v>18.16</v>
      </c>
    </row>
    <row r="34" spans="1:6" x14ac:dyDescent="0.2">
      <c r="A34" s="8" t="s">
        <v>243</v>
      </c>
      <c r="B34">
        <v>60</v>
      </c>
      <c r="C34">
        <v>60</v>
      </c>
      <c r="D34">
        <v>20.079999999999998</v>
      </c>
      <c r="E34">
        <v>10.74</v>
      </c>
      <c r="F34">
        <v>60</v>
      </c>
    </row>
    <row r="35" spans="1:6" x14ac:dyDescent="0.2">
      <c r="A35" s="8"/>
      <c r="B35">
        <v>60</v>
      </c>
      <c r="C35">
        <v>8.65</v>
      </c>
      <c r="D35">
        <v>36.9</v>
      </c>
      <c r="E35">
        <v>33.49</v>
      </c>
      <c r="F35">
        <v>60</v>
      </c>
    </row>
    <row r="36" spans="1:6" x14ac:dyDescent="0.2">
      <c r="A36" s="8"/>
      <c r="B36">
        <v>60</v>
      </c>
      <c r="C36">
        <v>60</v>
      </c>
      <c r="D36">
        <v>29.12</v>
      </c>
      <c r="E36">
        <v>35.33</v>
      </c>
      <c r="F36">
        <v>13.19</v>
      </c>
    </row>
    <row r="37" spans="1:6" x14ac:dyDescent="0.2">
      <c r="A37" s="8"/>
      <c r="B37">
        <v>6.65</v>
      </c>
      <c r="C37">
        <v>20.87</v>
      </c>
      <c r="D37">
        <v>11.15</v>
      </c>
      <c r="E37">
        <v>45.75</v>
      </c>
      <c r="F37">
        <v>7.32</v>
      </c>
    </row>
    <row r="38" spans="1:6" x14ac:dyDescent="0.2">
      <c r="A38" s="8" t="s">
        <v>242</v>
      </c>
      <c r="B38">
        <v>60</v>
      </c>
      <c r="C38">
        <v>35.79</v>
      </c>
      <c r="D38">
        <v>8.9</v>
      </c>
      <c r="E38">
        <v>49.93</v>
      </c>
      <c r="F38">
        <v>27.44</v>
      </c>
    </row>
    <row r="39" spans="1:6" x14ac:dyDescent="0.2">
      <c r="A39" s="8"/>
      <c r="B39">
        <v>13.77</v>
      </c>
      <c r="C39">
        <v>11.02</v>
      </c>
      <c r="D39">
        <v>19.72</v>
      </c>
      <c r="E39">
        <v>11.13</v>
      </c>
      <c r="F39">
        <v>5.49</v>
      </c>
    </row>
    <row r="40" spans="1:6" x14ac:dyDescent="0.2">
      <c r="A40" s="8"/>
      <c r="B40">
        <v>29.1</v>
      </c>
      <c r="C40">
        <v>30.88</v>
      </c>
      <c r="D40">
        <v>60</v>
      </c>
      <c r="E40">
        <v>30.32</v>
      </c>
      <c r="F40">
        <v>60</v>
      </c>
    </row>
    <row r="41" spans="1:6" x14ac:dyDescent="0.2">
      <c r="A41" s="8"/>
      <c r="B41">
        <v>9.18</v>
      </c>
      <c r="C41">
        <v>30.1</v>
      </c>
      <c r="D41">
        <v>60</v>
      </c>
      <c r="E41">
        <v>53.02</v>
      </c>
      <c r="F41">
        <v>44</v>
      </c>
    </row>
    <row r="42" spans="1:6" x14ac:dyDescent="0.2">
      <c r="A42" s="8" t="s">
        <v>241</v>
      </c>
      <c r="B42">
        <v>59</v>
      </c>
      <c r="C42">
        <v>60</v>
      </c>
      <c r="D42">
        <v>34.5</v>
      </c>
      <c r="E42">
        <v>15.97</v>
      </c>
      <c r="F42">
        <v>13.93</v>
      </c>
    </row>
    <row r="43" spans="1:6" x14ac:dyDescent="0.2">
      <c r="A43" s="8"/>
      <c r="B43">
        <v>60</v>
      </c>
      <c r="C43">
        <v>7.64</v>
      </c>
      <c r="D43">
        <v>44.35</v>
      </c>
      <c r="E43">
        <v>31.82</v>
      </c>
      <c r="F43">
        <v>8.4499999999999993</v>
      </c>
    </row>
    <row r="44" spans="1:6" x14ac:dyDescent="0.2">
      <c r="A44" s="8"/>
      <c r="B44">
        <v>60</v>
      </c>
      <c r="C44">
        <v>59</v>
      </c>
      <c r="D44">
        <v>36.29</v>
      </c>
      <c r="E44">
        <v>12.91</v>
      </c>
      <c r="F44">
        <v>11.44</v>
      </c>
    </row>
    <row r="45" spans="1:6" x14ac:dyDescent="0.2">
      <c r="A45" s="8"/>
      <c r="B45">
        <v>60</v>
      </c>
      <c r="C45">
        <v>60</v>
      </c>
      <c r="D45">
        <v>19.75</v>
      </c>
      <c r="E45">
        <v>60</v>
      </c>
      <c r="F45">
        <v>24.86</v>
      </c>
    </row>
    <row r="46" spans="1:6" x14ac:dyDescent="0.2">
      <c r="A46" s="8" t="s">
        <v>240</v>
      </c>
      <c r="B46">
        <v>11.79</v>
      </c>
      <c r="C46">
        <v>59</v>
      </c>
      <c r="D46">
        <v>28.95</v>
      </c>
      <c r="E46">
        <v>12.34</v>
      </c>
      <c r="F46">
        <v>8.48</v>
      </c>
    </row>
    <row r="47" spans="1:6" x14ac:dyDescent="0.2">
      <c r="A47" s="8"/>
      <c r="B47">
        <v>60</v>
      </c>
      <c r="C47">
        <v>40.21</v>
      </c>
      <c r="D47">
        <v>10.130000000000001</v>
      </c>
      <c r="E47">
        <v>60</v>
      </c>
      <c r="F47">
        <v>31.77</v>
      </c>
    </row>
    <row r="48" spans="1:6" x14ac:dyDescent="0.2">
      <c r="A48" s="8"/>
      <c r="B48">
        <v>60</v>
      </c>
      <c r="C48">
        <v>17.37</v>
      </c>
      <c r="D48">
        <v>4.45</v>
      </c>
      <c r="E48">
        <v>19.239999999999998</v>
      </c>
      <c r="F48">
        <v>19.52</v>
      </c>
    </row>
    <row r="49" spans="1:6" x14ac:dyDescent="0.2">
      <c r="A49" s="8"/>
      <c r="B49">
        <v>31.17</v>
      </c>
      <c r="C49">
        <v>11.89</v>
      </c>
      <c r="D49">
        <v>13.14</v>
      </c>
      <c r="E49">
        <v>23.5</v>
      </c>
      <c r="F49">
        <v>12.7</v>
      </c>
    </row>
    <row r="50" spans="1:6" x14ac:dyDescent="0.2">
      <c r="A50" s="8" t="s">
        <v>198</v>
      </c>
      <c r="B50">
        <v>60</v>
      </c>
      <c r="C50">
        <v>59</v>
      </c>
      <c r="D50">
        <v>26.73</v>
      </c>
      <c r="E50">
        <v>31.32</v>
      </c>
      <c r="F50">
        <v>2.93</v>
      </c>
    </row>
    <row r="51" spans="1:6" x14ac:dyDescent="0.2">
      <c r="A51" s="8"/>
      <c r="B51">
        <v>60</v>
      </c>
      <c r="C51">
        <v>60</v>
      </c>
      <c r="D51">
        <v>40.04</v>
      </c>
      <c r="E51">
        <v>60</v>
      </c>
      <c r="F51">
        <v>19</v>
      </c>
    </row>
    <row r="52" spans="1:6" x14ac:dyDescent="0.2">
      <c r="A52" s="8"/>
      <c r="B52">
        <v>59</v>
      </c>
      <c r="C52">
        <v>60</v>
      </c>
      <c r="D52">
        <v>9.14</v>
      </c>
      <c r="E52">
        <v>18.88</v>
      </c>
      <c r="F52">
        <v>60</v>
      </c>
    </row>
    <row r="53" spans="1:6" x14ac:dyDescent="0.2">
      <c r="A53" s="8"/>
      <c r="B53">
        <v>9.9700000000000006</v>
      </c>
      <c r="C53">
        <v>18.53</v>
      </c>
      <c r="D53">
        <v>2.76</v>
      </c>
      <c r="E53">
        <v>9.9600000000000009</v>
      </c>
      <c r="F53">
        <v>19</v>
      </c>
    </row>
    <row r="54" spans="1:6" x14ac:dyDescent="0.2">
      <c r="A54" s="8" t="s">
        <v>199</v>
      </c>
      <c r="B54">
        <v>60</v>
      </c>
      <c r="C54">
        <v>7.44</v>
      </c>
      <c r="D54">
        <v>9.34</v>
      </c>
      <c r="E54">
        <v>14.58</v>
      </c>
      <c r="F54">
        <v>4.33</v>
      </c>
    </row>
    <row r="55" spans="1:6" x14ac:dyDescent="0.2">
      <c r="A55" s="8"/>
      <c r="B55">
        <v>60</v>
      </c>
      <c r="C55">
        <v>26.55</v>
      </c>
      <c r="D55">
        <v>60</v>
      </c>
      <c r="E55">
        <v>15.09</v>
      </c>
      <c r="F55">
        <v>16.57</v>
      </c>
    </row>
    <row r="56" spans="1:6" x14ac:dyDescent="0.2">
      <c r="A56" s="8"/>
      <c r="B56">
        <v>60</v>
      </c>
      <c r="C56">
        <v>60</v>
      </c>
      <c r="D56">
        <v>34.15</v>
      </c>
      <c r="E56">
        <v>20.27</v>
      </c>
      <c r="F56">
        <v>7.57</v>
      </c>
    </row>
    <row r="57" spans="1:6" x14ac:dyDescent="0.2">
      <c r="A57" s="8"/>
      <c r="B57">
        <v>60</v>
      </c>
      <c r="C57">
        <v>12.72</v>
      </c>
      <c r="D57">
        <v>60</v>
      </c>
      <c r="E57">
        <v>36.630000000000003</v>
      </c>
      <c r="F57">
        <v>9.57</v>
      </c>
    </row>
    <row r="58" spans="1:6" x14ac:dyDescent="0.2">
      <c r="A58" s="8" t="s">
        <v>200</v>
      </c>
      <c r="B58">
        <v>38.57</v>
      </c>
      <c r="C58">
        <v>3.47</v>
      </c>
      <c r="D58">
        <v>53.58</v>
      </c>
      <c r="E58">
        <v>25.51</v>
      </c>
      <c r="F58">
        <v>3.44</v>
      </c>
    </row>
    <row r="59" spans="1:6" x14ac:dyDescent="0.2">
      <c r="A59" s="8"/>
      <c r="B59">
        <v>7.47</v>
      </c>
      <c r="C59">
        <v>8.92</v>
      </c>
      <c r="D59">
        <v>10.029999999999999</v>
      </c>
      <c r="E59">
        <v>21.4</v>
      </c>
      <c r="F59">
        <v>38.15</v>
      </c>
    </row>
    <row r="60" spans="1:6" x14ac:dyDescent="0.2">
      <c r="A60" s="8"/>
      <c r="B60">
        <v>23.95</v>
      </c>
      <c r="C60">
        <v>19.11</v>
      </c>
      <c r="D60">
        <v>59</v>
      </c>
      <c r="E60">
        <v>16.829999999999998</v>
      </c>
      <c r="F60">
        <v>10.69</v>
      </c>
    </row>
    <row r="61" spans="1:6" x14ac:dyDescent="0.2">
      <c r="A61" s="8"/>
      <c r="B61">
        <v>32.72</v>
      </c>
      <c r="C61">
        <v>60</v>
      </c>
      <c r="D61">
        <v>60</v>
      </c>
      <c r="E61">
        <v>13.62</v>
      </c>
      <c r="F61">
        <v>3.26</v>
      </c>
    </row>
    <row r="62" spans="1:6" x14ac:dyDescent="0.2">
      <c r="A62" s="8" t="s">
        <v>201</v>
      </c>
      <c r="B62">
        <v>30.91</v>
      </c>
      <c r="C62">
        <v>10.74</v>
      </c>
      <c r="D62">
        <v>26.81</v>
      </c>
      <c r="E62">
        <v>52.33</v>
      </c>
      <c r="F62">
        <v>31.63</v>
      </c>
    </row>
    <row r="63" spans="1:6" x14ac:dyDescent="0.2">
      <c r="A63" s="8"/>
      <c r="B63">
        <v>20.37</v>
      </c>
      <c r="C63">
        <v>59</v>
      </c>
      <c r="D63">
        <v>13.96</v>
      </c>
      <c r="E63">
        <v>20.190000000000001</v>
      </c>
      <c r="F63">
        <v>50.46</v>
      </c>
    </row>
    <row r="64" spans="1:6" x14ac:dyDescent="0.2">
      <c r="A64" s="8"/>
      <c r="B64">
        <v>60</v>
      </c>
      <c r="C64">
        <v>60</v>
      </c>
      <c r="D64">
        <v>11.26</v>
      </c>
      <c r="E64">
        <v>39.54</v>
      </c>
      <c r="F64">
        <v>15.73</v>
      </c>
    </row>
    <row r="65" spans="1:6" x14ac:dyDescent="0.2">
      <c r="A65" s="8"/>
      <c r="B65">
        <v>12.86</v>
      </c>
      <c r="C65">
        <v>54.71</v>
      </c>
      <c r="D65">
        <v>33.83</v>
      </c>
      <c r="E65">
        <v>12.39</v>
      </c>
      <c r="F65">
        <v>9.9700000000000006</v>
      </c>
    </row>
    <row r="66" spans="1:6" x14ac:dyDescent="0.2">
      <c r="A66" s="8" t="s">
        <v>239</v>
      </c>
      <c r="B66">
        <v>19.96</v>
      </c>
      <c r="C66">
        <v>6.2</v>
      </c>
      <c r="D66">
        <v>18.809999999999999</v>
      </c>
      <c r="E66">
        <v>11.48</v>
      </c>
      <c r="F66">
        <v>7.81</v>
      </c>
    </row>
    <row r="67" spans="1:6" x14ac:dyDescent="0.2">
      <c r="A67" s="8"/>
      <c r="B67">
        <v>26.5</v>
      </c>
      <c r="C67">
        <v>12.65</v>
      </c>
      <c r="D67">
        <v>7.81</v>
      </c>
      <c r="E67">
        <v>11.94</v>
      </c>
      <c r="F67">
        <v>56.55</v>
      </c>
    </row>
    <row r="68" spans="1:6" x14ac:dyDescent="0.2">
      <c r="A68" s="8"/>
      <c r="B68">
        <v>24.64</v>
      </c>
      <c r="C68">
        <v>11.66</v>
      </c>
      <c r="D68">
        <v>7.79</v>
      </c>
      <c r="E68">
        <v>18.87</v>
      </c>
      <c r="F68">
        <v>29.1</v>
      </c>
    </row>
    <row r="69" spans="1:6" x14ac:dyDescent="0.2">
      <c r="A69" s="8"/>
      <c r="B69">
        <v>60</v>
      </c>
      <c r="C69">
        <v>58</v>
      </c>
      <c r="D69">
        <v>8</v>
      </c>
      <c r="E69">
        <v>15.82</v>
      </c>
      <c r="F69">
        <v>17.23</v>
      </c>
    </row>
    <row r="70" spans="1:6" x14ac:dyDescent="0.2">
      <c r="A70" s="8" t="s">
        <v>238</v>
      </c>
      <c r="B70">
        <v>60</v>
      </c>
      <c r="C70">
        <v>59</v>
      </c>
      <c r="D70">
        <v>50.52</v>
      </c>
      <c r="E70">
        <v>15.86</v>
      </c>
      <c r="F70">
        <v>2.87</v>
      </c>
    </row>
    <row r="71" spans="1:6" x14ac:dyDescent="0.2">
      <c r="A71" s="8"/>
      <c r="B71">
        <v>6.59</v>
      </c>
      <c r="C71">
        <v>40</v>
      </c>
      <c r="D71">
        <v>22</v>
      </c>
      <c r="E71">
        <v>33.979999999999997</v>
      </c>
      <c r="F71">
        <v>23.86</v>
      </c>
    </row>
    <row r="72" spans="1:6" x14ac:dyDescent="0.2">
      <c r="A72" s="8"/>
      <c r="B72">
        <v>7.06</v>
      </c>
      <c r="C72">
        <v>17.7</v>
      </c>
      <c r="D72">
        <v>17.239999999999998</v>
      </c>
      <c r="E72">
        <v>36.17</v>
      </c>
      <c r="F72">
        <v>9.5399999999999991</v>
      </c>
    </row>
    <row r="73" spans="1:6" x14ac:dyDescent="0.2">
      <c r="A73" s="8"/>
      <c r="B73">
        <v>14.85</v>
      </c>
      <c r="C73">
        <v>37.21</v>
      </c>
      <c r="D73">
        <v>6.15</v>
      </c>
      <c r="E73">
        <v>20.51</v>
      </c>
      <c r="F73">
        <v>51.97</v>
      </c>
    </row>
    <row r="74" spans="1:6" x14ac:dyDescent="0.2">
      <c r="A74" s="8" t="s">
        <v>237</v>
      </c>
      <c r="B74">
        <v>60</v>
      </c>
      <c r="C74">
        <v>60</v>
      </c>
      <c r="D74">
        <v>7.3</v>
      </c>
      <c r="E74">
        <v>12.09</v>
      </c>
      <c r="F74">
        <v>5.01</v>
      </c>
    </row>
    <row r="75" spans="1:6" x14ac:dyDescent="0.2">
      <c r="A75" s="8"/>
      <c r="B75">
        <v>59</v>
      </c>
      <c r="C75">
        <v>41.77</v>
      </c>
      <c r="D75">
        <v>16.23</v>
      </c>
      <c r="E75">
        <v>11.92</v>
      </c>
      <c r="F75">
        <v>22.95</v>
      </c>
    </row>
    <row r="76" spans="1:6" x14ac:dyDescent="0.2">
      <c r="A76" s="8"/>
      <c r="B76">
        <v>60</v>
      </c>
      <c r="C76">
        <v>31.77</v>
      </c>
      <c r="D76">
        <v>34.299999999999997</v>
      </c>
      <c r="E76">
        <v>17.57</v>
      </c>
      <c r="F76">
        <v>4.12</v>
      </c>
    </row>
    <row r="77" spans="1:6" x14ac:dyDescent="0.2">
      <c r="A77" s="8"/>
      <c r="B77">
        <v>60</v>
      </c>
      <c r="C77">
        <v>60</v>
      </c>
      <c r="D77">
        <v>5.62</v>
      </c>
      <c r="E77">
        <v>19.3</v>
      </c>
      <c r="F77">
        <v>60</v>
      </c>
    </row>
    <row r="78" spans="1:6" x14ac:dyDescent="0.2">
      <c r="A78" s="8" t="s">
        <v>236</v>
      </c>
      <c r="B78">
        <v>59</v>
      </c>
      <c r="C78">
        <v>19.600000000000001</v>
      </c>
      <c r="D78">
        <v>59</v>
      </c>
      <c r="E78">
        <v>43.6</v>
      </c>
      <c r="F78">
        <v>3.45</v>
      </c>
    </row>
    <row r="79" spans="1:6" x14ac:dyDescent="0.2">
      <c r="A79" s="8"/>
      <c r="B79">
        <v>59</v>
      </c>
      <c r="C79">
        <v>51.51</v>
      </c>
      <c r="D79">
        <v>20.5</v>
      </c>
      <c r="E79">
        <v>7.48</v>
      </c>
      <c r="F79">
        <v>17.46</v>
      </c>
    </row>
    <row r="80" spans="1:6" x14ac:dyDescent="0.2">
      <c r="A80" s="8"/>
      <c r="B80">
        <v>60</v>
      </c>
      <c r="C80">
        <v>37.159999999999997</v>
      </c>
      <c r="D80">
        <v>59</v>
      </c>
      <c r="E80">
        <v>11.74</v>
      </c>
      <c r="F80">
        <v>6.93</v>
      </c>
    </row>
    <row r="81" spans="1:6" x14ac:dyDescent="0.2">
      <c r="A81" s="8"/>
      <c r="B81">
        <v>60</v>
      </c>
      <c r="C81">
        <v>17.600000000000001</v>
      </c>
      <c r="D81">
        <v>41.16</v>
      </c>
      <c r="E81">
        <v>21.38</v>
      </c>
      <c r="F81">
        <v>9.5399999999999991</v>
      </c>
    </row>
  </sheetData>
  <mergeCells count="22">
    <mergeCell ref="A2:A5"/>
    <mergeCell ref="A10:A13"/>
    <mergeCell ref="A14:A17"/>
    <mergeCell ref="A18:A21"/>
    <mergeCell ref="A22:A25"/>
    <mergeCell ref="A6:A9"/>
    <mergeCell ref="A50:A53"/>
    <mergeCell ref="A26:A29"/>
    <mergeCell ref="A78:A81"/>
    <mergeCell ref="L1:Q1"/>
    <mergeCell ref="L24:Q24"/>
    <mergeCell ref="A54:A57"/>
    <mergeCell ref="A58:A61"/>
    <mergeCell ref="A62:A65"/>
    <mergeCell ref="A66:A69"/>
    <mergeCell ref="A70:A73"/>
    <mergeCell ref="A74:A77"/>
    <mergeCell ref="A30:A33"/>
    <mergeCell ref="A34:A37"/>
    <mergeCell ref="A38:A41"/>
    <mergeCell ref="A42:A45"/>
    <mergeCell ref="A46:A49"/>
  </mergeCells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69FF-E2D1-47DB-AD30-BCE56FF82654}">
  <dimension ref="A1:X5"/>
  <sheetViews>
    <sheetView workbookViewId="0">
      <selection activeCell="V12" sqref="V12"/>
    </sheetView>
  </sheetViews>
  <sheetFormatPr baseColWidth="10" defaultColWidth="8.83203125" defaultRowHeight="15" x14ac:dyDescent="0.2"/>
  <cols>
    <col min="1" max="1" width="22" customWidth="1"/>
  </cols>
  <sheetData>
    <row r="1" spans="1:24" x14ac:dyDescent="0.2">
      <c r="B1" s="8" t="s">
        <v>250</v>
      </c>
      <c r="C1" s="8"/>
      <c r="D1" s="8"/>
      <c r="E1" s="8"/>
      <c r="F1" s="8"/>
      <c r="G1" s="8"/>
      <c r="H1" s="8"/>
      <c r="I1" s="8"/>
      <c r="J1" s="8"/>
      <c r="K1" s="8"/>
      <c r="L1" s="8" t="s">
        <v>249</v>
      </c>
      <c r="M1" s="8"/>
      <c r="N1" s="8"/>
      <c r="O1" s="8"/>
      <c r="P1" s="8"/>
      <c r="Q1" s="8"/>
      <c r="R1" s="8"/>
      <c r="S1" s="8"/>
      <c r="T1" s="8"/>
      <c r="U1" s="8"/>
      <c r="V1" s="8" t="s">
        <v>153</v>
      </c>
      <c r="W1" s="8"/>
      <c r="X1" s="8" t="s">
        <v>152</v>
      </c>
    </row>
    <row r="2" spans="1:24" x14ac:dyDescent="0.2">
      <c r="B2" s="8" t="s">
        <v>248</v>
      </c>
      <c r="C2" s="8" t="s">
        <v>191</v>
      </c>
      <c r="D2" s="8" t="s">
        <v>192</v>
      </c>
      <c r="E2" s="8" t="s">
        <v>193</v>
      </c>
      <c r="F2" s="8" t="s">
        <v>194</v>
      </c>
      <c r="G2" s="8" t="s">
        <v>195</v>
      </c>
      <c r="H2" s="8" t="s">
        <v>247</v>
      </c>
      <c r="I2" s="8" t="s">
        <v>244</v>
      </c>
      <c r="J2" s="8" t="s">
        <v>243</v>
      </c>
      <c r="K2" s="8" t="s">
        <v>242</v>
      </c>
      <c r="L2" s="8" t="s">
        <v>241</v>
      </c>
      <c r="M2" s="8" t="s">
        <v>251</v>
      </c>
      <c r="N2" s="8" t="s">
        <v>198</v>
      </c>
      <c r="O2" s="8" t="s">
        <v>199</v>
      </c>
      <c r="P2" s="8" t="s">
        <v>200</v>
      </c>
      <c r="Q2" s="8" t="s">
        <v>201</v>
      </c>
      <c r="R2" s="8" t="s">
        <v>239</v>
      </c>
      <c r="S2" s="8" t="s">
        <v>238</v>
      </c>
      <c r="T2" s="8" t="s">
        <v>237</v>
      </c>
      <c r="U2" s="8" t="s">
        <v>236</v>
      </c>
      <c r="V2" s="8" t="s">
        <v>250</v>
      </c>
      <c r="W2" s="8" t="s">
        <v>249</v>
      </c>
      <c r="X2" s="8"/>
    </row>
    <row r="3" spans="1:24" x14ac:dyDescent="0.2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x14ac:dyDescent="0.2">
      <c r="A4" t="s">
        <v>235</v>
      </c>
      <c r="B4">
        <v>30</v>
      </c>
      <c r="C4">
        <v>21</v>
      </c>
      <c r="D4">
        <v>17</v>
      </c>
      <c r="E4">
        <v>29</v>
      </c>
      <c r="F4">
        <v>35</v>
      </c>
      <c r="G4">
        <v>38</v>
      </c>
      <c r="H4">
        <v>10</v>
      </c>
      <c r="I4">
        <v>28</v>
      </c>
      <c r="J4">
        <v>37</v>
      </c>
      <c r="K4">
        <v>31</v>
      </c>
      <c r="L4">
        <v>13</v>
      </c>
      <c r="M4">
        <v>12</v>
      </c>
      <c r="N4">
        <v>12</v>
      </c>
      <c r="O4">
        <v>15</v>
      </c>
      <c r="P4">
        <v>17</v>
      </c>
      <c r="Q4">
        <v>18</v>
      </c>
      <c r="R4">
        <v>21</v>
      </c>
      <c r="S4">
        <v>29</v>
      </c>
      <c r="T4">
        <v>9</v>
      </c>
      <c r="U4">
        <v>23</v>
      </c>
      <c r="V4">
        <f>AVERAGE(B4:K4)</f>
        <v>27.6</v>
      </c>
      <c r="W4">
        <f>AVERAGE(L4:U4)</f>
        <v>16.899999999999999</v>
      </c>
      <c r="X4">
        <v>6.0000000000000001E-3</v>
      </c>
    </row>
    <row r="5" spans="1:24" x14ac:dyDescent="0.2">
      <c r="A5" t="s">
        <v>234</v>
      </c>
      <c r="B5">
        <v>3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3</v>
      </c>
      <c r="K5">
        <v>1</v>
      </c>
      <c r="L5">
        <v>4</v>
      </c>
      <c r="M5">
        <v>3</v>
      </c>
      <c r="N5">
        <v>3</v>
      </c>
      <c r="O5">
        <v>3</v>
      </c>
      <c r="P5">
        <v>4</v>
      </c>
      <c r="Q5">
        <v>3</v>
      </c>
      <c r="R5">
        <v>3</v>
      </c>
      <c r="S5">
        <v>3</v>
      </c>
      <c r="T5">
        <v>3</v>
      </c>
      <c r="U5">
        <v>4</v>
      </c>
      <c r="V5">
        <f>AVERAGE(B5:K5)</f>
        <v>2.1</v>
      </c>
      <c r="W5">
        <f>AVERAGE(L5:U5)</f>
        <v>3.3</v>
      </c>
      <c r="X5">
        <v>4.73E-4</v>
      </c>
    </row>
  </sheetData>
  <mergeCells count="26">
    <mergeCell ref="L2:L3"/>
    <mergeCell ref="R2:R3"/>
    <mergeCell ref="S2:S3"/>
    <mergeCell ref="T2:T3"/>
    <mergeCell ref="U2:U3"/>
    <mergeCell ref="M2:M3"/>
    <mergeCell ref="N2:N3"/>
    <mergeCell ref="O2:O3"/>
    <mergeCell ref="P2:P3"/>
    <mergeCell ref="Q2:Q3"/>
    <mergeCell ref="K2:K3"/>
    <mergeCell ref="X1:X3"/>
    <mergeCell ref="B1:K1"/>
    <mergeCell ref="L1:U1"/>
    <mergeCell ref="V1:W1"/>
    <mergeCell ref="V2:V3"/>
    <mergeCell ref="W2:W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honeticPr fontId="2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C482-83F2-46F2-BB13-E3343F437ECF}">
  <dimension ref="A1:AH11"/>
  <sheetViews>
    <sheetView workbookViewId="0">
      <selection activeCell="O5" sqref="O5:AH5"/>
    </sheetView>
  </sheetViews>
  <sheetFormatPr baseColWidth="10" defaultColWidth="8.83203125" defaultRowHeight="15" x14ac:dyDescent="0.2"/>
  <sheetData>
    <row r="1" spans="1:34" x14ac:dyDescent="0.2">
      <c r="A1" t="s">
        <v>215</v>
      </c>
      <c r="B1" t="s">
        <v>255</v>
      </c>
      <c r="C1" t="s">
        <v>254</v>
      </c>
      <c r="D1" t="s">
        <v>253</v>
      </c>
      <c r="H1" t="s">
        <v>214</v>
      </c>
      <c r="I1" t="s">
        <v>255</v>
      </c>
      <c r="J1" t="s">
        <v>254</v>
      </c>
      <c r="K1" t="s">
        <v>253</v>
      </c>
      <c r="O1" s="8" t="s">
        <v>215</v>
      </c>
      <c r="P1" s="8"/>
      <c r="Q1" s="8"/>
      <c r="R1" s="8"/>
      <c r="S1" s="8"/>
      <c r="T1" s="8"/>
      <c r="U1" s="8"/>
      <c r="V1" s="8"/>
      <c r="W1" s="8"/>
      <c r="X1" s="8"/>
      <c r="Y1" s="8" t="s">
        <v>214</v>
      </c>
      <c r="Z1" s="8"/>
      <c r="AA1" s="8"/>
      <c r="AB1" s="8"/>
      <c r="AC1" s="8"/>
      <c r="AD1" s="8"/>
      <c r="AE1" s="8"/>
      <c r="AF1" s="8"/>
      <c r="AG1" s="8"/>
      <c r="AH1" s="8"/>
    </row>
    <row r="2" spans="1:34" x14ac:dyDescent="0.2">
      <c r="A2" t="s">
        <v>232</v>
      </c>
      <c r="B2">
        <v>6.94</v>
      </c>
      <c r="C2">
        <v>22.58</v>
      </c>
      <c r="D2">
        <f t="shared" ref="D2:D11" si="0">C2/(B2+C2)*100</f>
        <v>76.490514905149041</v>
      </c>
      <c r="H2" t="s">
        <v>32</v>
      </c>
      <c r="I2">
        <v>8.5</v>
      </c>
      <c r="J2">
        <v>7.35</v>
      </c>
      <c r="K2">
        <f t="shared" ref="K2:K11" si="1">J2/(I2+J2)*100</f>
        <v>46.372239747634069</v>
      </c>
      <c r="O2" t="s">
        <v>232</v>
      </c>
      <c r="P2" t="s">
        <v>230</v>
      </c>
      <c r="Q2" t="s">
        <v>231</v>
      </c>
      <c r="R2" t="s">
        <v>229</v>
      </c>
      <c r="S2" t="s">
        <v>8</v>
      </c>
      <c r="T2" t="s">
        <v>9</v>
      </c>
      <c r="U2" t="s">
        <v>10</v>
      </c>
      <c r="V2" t="s">
        <v>11</v>
      </c>
      <c r="W2" t="s">
        <v>12</v>
      </c>
      <c r="X2" t="s">
        <v>13</v>
      </c>
      <c r="Y2" t="s">
        <v>32</v>
      </c>
      <c r="Z2" t="s">
        <v>210</v>
      </c>
      <c r="AA2" t="s">
        <v>34</v>
      </c>
      <c r="AB2" t="s">
        <v>35</v>
      </c>
      <c r="AC2" t="s">
        <v>226</v>
      </c>
      <c r="AD2" t="s">
        <v>224</v>
      </c>
      <c r="AE2" t="s">
        <v>36</v>
      </c>
      <c r="AF2" t="s">
        <v>37</v>
      </c>
      <c r="AG2" t="s">
        <v>38</v>
      </c>
      <c r="AH2" t="s">
        <v>39</v>
      </c>
    </row>
    <row r="3" spans="1:34" x14ac:dyDescent="0.2">
      <c r="A3" t="s">
        <v>230</v>
      </c>
      <c r="B3">
        <v>5.75</v>
      </c>
      <c r="C3">
        <v>15.58</v>
      </c>
      <c r="D3">
        <f t="shared" si="0"/>
        <v>73.042662916080644</v>
      </c>
      <c r="H3" t="s">
        <v>210</v>
      </c>
      <c r="I3">
        <v>7.92</v>
      </c>
      <c r="J3">
        <v>13.09</v>
      </c>
      <c r="K3">
        <f t="shared" si="1"/>
        <v>62.303664921465973</v>
      </c>
      <c r="N3" t="s">
        <v>253</v>
      </c>
      <c r="O3">
        <v>76.490514905149041</v>
      </c>
      <c r="P3">
        <v>73.042662916080644</v>
      </c>
      <c r="Q3">
        <v>64.168067226890756</v>
      </c>
      <c r="R3">
        <v>71.424186617556785</v>
      </c>
      <c r="S3">
        <v>75.323671497584527</v>
      </c>
      <c r="T3">
        <v>73.735849056603769</v>
      </c>
      <c r="U3">
        <v>69.731800766283527</v>
      </c>
      <c r="V3">
        <v>70.582476749877628</v>
      </c>
      <c r="W3">
        <v>78.352620830496932</v>
      </c>
      <c r="X3">
        <v>66.102394715111473</v>
      </c>
      <c r="Y3">
        <v>46.372239747634069</v>
      </c>
      <c r="Z3">
        <v>62.303664921465973</v>
      </c>
      <c r="AA3">
        <v>61.988304093567258</v>
      </c>
      <c r="AB3">
        <v>46.198587453261318</v>
      </c>
      <c r="AC3">
        <v>64.116452268111047</v>
      </c>
      <c r="AD3">
        <v>52.163533273649655</v>
      </c>
      <c r="AE3">
        <v>62.053571428571416</v>
      </c>
      <c r="AF3">
        <v>62.291963861150734</v>
      </c>
      <c r="AG3">
        <v>55.532359081419628</v>
      </c>
      <c r="AH3">
        <v>41.259500542888162</v>
      </c>
    </row>
    <row r="4" spans="1:34" x14ac:dyDescent="0.2">
      <c r="A4" t="s">
        <v>231</v>
      </c>
      <c r="B4">
        <v>10.66</v>
      </c>
      <c r="C4">
        <v>19.09</v>
      </c>
      <c r="D4">
        <f t="shared" si="0"/>
        <v>64.168067226890756</v>
      </c>
      <c r="H4" t="s">
        <v>34</v>
      </c>
      <c r="I4">
        <v>8.4499999999999993</v>
      </c>
      <c r="J4">
        <v>13.78</v>
      </c>
      <c r="K4">
        <f t="shared" si="1"/>
        <v>61.988304093567258</v>
      </c>
      <c r="N4" t="s">
        <v>153</v>
      </c>
      <c r="O4" s="8">
        <f>AVERAGE(O3:X3)</f>
        <v>71.895424528163502</v>
      </c>
      <c r="P4" s="8"/>
      <c r="Q4" s="8"/>
      <c r="R4" s="8"/>
      <c r="S4" s="8"/>
      <c r="T4" s="8"/>
      <c r="U4" s="8"/>
      <c r="V4" s="8"/>
      <c r="W4" s="8"/>
      <c r="X4" s="8"/>
      <c r="Y4" s="8">
        <f>AVERAGE(Y3:AH3)</f>
        <v>55.428017667171922</v>
      </c>
      <c r="Z4" s="8"/>
      <c r="AA4" s="8"/>
      <c r="AB4" s="8"/>
      <c r="AC4" s="8"/>
      <c r="AD4" s="8"/>
      <c r="AE4" s="8"/>
      <c r="AF4" s="8"/>
      <c r="AG4" s="8"/>
      <c r="AH4" s="8"/>
    </row>
    <row r="5" spans="1:34" x14ac:dyDescent="0.2">
      <c r="A5" t="s">
        <v>229</v>
      </c>
      <c r="B5">
        <v>9.31</v>
      </c>
      <c r="C5">
        <v>23.27</v>
      </c>
      <c r="D5">
        <f t="shared" si="0"/>
        <v>71.424186617556785</v>
      </c>
      <c r="H5" t="s">
        <v>35</v>
      </c>
      <c r="I5">
        <v>12.95</v>
      </c>
      <c r="J5">
        <v>11.12</v>
      </c>
      <c r="K5">
        <f t="shared" si="1"/>
        <v>46.198587453261318</v>
      </c>
      <c r="N5" t="s">
        <v>152</v>
      </c>
      <c r="O5" s="8" t="s">
        <v>252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x14ac:dyDescent="0.2">
      <c r="A6" t="s">
        <v>8</v>
      </c>
      <c r="B6">
        <v>12.77</v>
      </c>
      <c r="C6">
        <v>38.979999999999997</v>
      </c>
      <c r="D6">
        <f t="shared" si="0"/>
        <v>75.323671497584527</v>
      </c>
      <c r="H6" t="s">
        <v>226</v>
      </c>
      <c r="I6">
        <v>5.3</v>
      </c>
      <c r="J6">
        <v>9.4700000000000006</v>
      </c>
      <c r="K6">
        <f t="shared" si="1"/>
        <v>64.116452268111047</v>
      </c>
    </row>
    <row r="7" spans="1:34" x14ac:dyDescent="0.2">
      <c r="A7" t="s">
        <v>9</v>
      </c>
      <c r="B7">
        <v>6.96</v>
      </c>
      <c r="C7">
        <v>19.54</v>
      </c>
      <c r="D7">
        <f t="shared" si="0"/>
        <v>73.735849056603769</v>
      </c>
      <c r="H7" t="s">
        <v>224</v>
      </c>
      <c r="I7">
        <v>16.03</v>
      </c>
      <c r="J7">
        <v>17.48</v>
      </c>
      <c r="K7">
        <f t="shared" si="1"/>
        <v>52.163533273649655</v>
      </c>
    </row>
    <row r="8" spans="1:34" x14ac:dyDescent="0.2">
      <c r="A8" t="s">
        <v>10</v>
      </c>
      <c r="B8">
        <v>11.06</v>
      </c>
      <c r="C8">
        <v>25.48</v>
      </c>
      <c r="D8">
        <f t="shared" si="0"/>
        <v>69.731800766283527</v>
      </c>
      <c r="H8" t="s">
        <v>36</v>
      </c>
      <c r="I8">
        <v>9.35</v>
      </c>
      <c r="J8">
        <v>15.29</v>
      </c>
      <c r="K8">
        <f t="shared" si="1"/>
        <v>62.053571428571416</v>
      </c>
    </row>
    <row r="9" spans="1:34" x14ac:dyDescent="0.2">
      <c r="A9" t="s">
        <v>11</v>
      </c>
      <c r="B9">
        <v>12.02</v>
      </c>
      <c r="C9">
        <v>28.84</v>
      </c>
      <c r="D9">
        <f t="shared" si="0"/>
        <v>70.582476749877628</v>
      </c>
      <c r="H9" t="s">
        <v>37</v>
      </c>
      <c r="I9">
        <v>7.93</v>
      </c>
      <c r="J9">
        <v>13.1</v>
      </c>
      <c r="K9">
        <f t="shared" si="1"/>
        <v>62.291963861150734</v>
      </c>
    </row>
    <row r="10" spans="1:34" x14ac:dyDescent="0.2">
      <c r="A10" t="s">
        <v>12</v>
      </c>
      <c r="B10">
        <v>6.36</v>
      </c>
      <c r="C10">
        <v>23.02</v>
      </c>
      <c r="D10">
        <f t="shared" si="0"/>
        <v>78.352620830496932</v>
      </c>
      <c r="H10" t="s">
        <v>38</v>
      </c>
      <c r="I10">
        <v>4.26</v>
      </c>
      <c r="J10">
        <v>5.32</v>
      </c>
      <c r="K10">
        <f t="shared" si="1"/>
        <v>55.532359081419628</v>
      </c>
    </row>
    <row r="11" spans="1:34" x14ac:dyDescent="0.2">
      <c r="A11" t="s">
        <v>13</v>
      </c>
      <c r="B11">
        <v>8.2100000000000009</v>
      </c>
      <c r="C11">
        <v>16.010000000000002</v>
      </c>
      <c r="D11">
        <f t="shared" si="0"/>
        <v>66.102394715111473</v>
      </c>
      <c r="H11" t="s">
        <v>39</v>
      </c>
      <c r="I11">
        <v>10.82</v>
      </c>
      <c r="J11">
        <v>7.6</v>
      </c>
      <c r="K11">
        <f t="shared" si="1"/>
        <v>41.259500542888162</v>
      </c>
    </row>
  </sheetData>
  <mergeCells count="5">
    <mergeCell ref="O1:X1"/>
    <mergeCell ref="Y1:AH1"/>
    <mergeCell ref="O4:X4"/>
    <mergeCell ref="Y4:AH4"/>
    <mergeCell ref="O5:AH5"/>
  </mergeCells>
  <phoneticPr fontId="2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418B-87D1-5146-9D0C-EF72ECF52B69}">
  <dimension ref="A1:E21"/>
  <sheetViews>
    <sheetView workbookViewId="0">
      <selection sqref="A1:B1"/>
    </sheetView>
  </sheetViews>
  <sheetFormatPr baseColWidth="10" defaultRowHeight="15" x14ac:dyDescent="0.2"/>
  <sheetData>
    <row r="1" spans="1:5" x14ac:dyDescent="0.2">
      <c r="A1" t="s">
        <v>258</v>
      </c>
      <c r="B1" t="s">
        <v>259</v>
      </c>
      <c r="C1" t="s">
        <v>260</v>
      </c>
      <c r="D1" t="s">
        <v>261</v>
      </c>
      <c r="E1" t="s">
        <v>262</v>
      </c>
    </row>
    <row r="2" spans="1:5" x14ac:dyDescent="0.2">
      <c r="A2" t="s">
        <v>232</v>
      </c>
      <c r="B2" t="s">
        <v>263</v>
      </c>
      <c r="C2">
        <v>6.94</v>
      </c>
      <c r="D2">
        <v>22.58</v>
      </c>
      <c r="E2">
        <f t="shared" ref="E2:E21" si="0">D2/(C2+D2)*100</f>
        <v>76.490514905149041</v>
      </c>
    </row>
    <row r="3" spans="1:5" x14ac:dyDescent="0.2">
      <c r="A3" t="s">
        <v>230</v>
      </c>
      <c r="B3" t="s">
        <v>263</v>
      </c>
      <c r="C3">
        <v>5.75</v>
      </c>
      <c r="D3">
        <v>15.58</v>
      </c>
      <c r="E3">
        <f t="shared" si="0"/>
        <v>73.042662916080644</v>
      </c>
    </row>
    <row r="4" spans="1:5" x14ac:dyDescent="0.2">
      <c r="A4" t="s">
        <v>231</v>
      </c>
      <c r="B4" t="s">
        <v>263</v>
      </c>
      <c r="C4">
        <v>10.66</v>
      </c>
      <c r="D4">
        <v>19.09</v>
      </c>
      <c r="E4">
        <f t="shared" si="0"/>
        <v>64.168067226890756</v>
      </c>
    </row>
    <row r="5" spans="1:5" x14ac:dyDescent="0.2">
      <c r="A5" t="s">
        <v>229</v>
      </c>
      <c r="B5" t="s">
        <v>263</v>
      </c>
      <c r="C5">
        <v>9.31</v>
      </c>
      <c r="D5">
        <v>23.27</v>
      </c>
      <c r="E5">
        <f t="shared" si="0"/>
        <v>71.424186617556785</v>
      </c>
    </row>
    <row r="6" spans="1:5" x14ac:dyDescent="0.2">
      <c r="A6" t="s">
        <v>8</v>
      </c>
      <c r="B6" t="s">
        <v>263</v>
      </c>
      <c r="C6">
        <v>12.77</v>
      </c>
      <c r="D6">
        <v>38.979999999999997</v>
      </c>
      <c r="E6">
        <f t="shared" si="0"/>
        <v>75.323671497584527</v>
      </c>
    </row>
    <row r="7" spans="1:5" x14ac:dyDescent="0.2">
      <c r="A7" t="s">
        <v>9</v>
      </c>
      <c r="B7" t="s">
        <v>263</v>
      </c>
      <c r="C7">
        <v>6.96</v>
      </c>
      <c r="D7">
        <v>19.54</v>
      </c>
      <c r="E7">
        <f t="shared" si="0"/>
        <v>73.735849056603769</v>
      </c>
    </row>
    <row r="8" spans="1:5" x14ac:dyDescent="0.2">
      <c r="A8" t="s">
        <v>10</v>
      </c>
      <c r="B8" t="s">
        <v>263</v>
      </c>
      <c r="C8">
        <v>11.06</v>
      </c>
      <c r="D8">
        <v>25.48</v>
      </c>
      <c r="E8">
        <f t="shared" si="0"/>
        <v>69.731800766283527</v>
      </c>
    </row>
    <row r="9" spans="1:5" x14ac:dyDescent="0.2">
      <c r="A9" t="s">
        <v>11</v>
      </c>
      <c r="B9" t="s">
        <v>263</v>
      </c>
      <c r="C9">
        <v>12.02</v>
      </c>
      <c r="D9">
        <v>28.84</v>
      </c>
      <c r="E9">
        <f t="shared" si="0"/>
        <v>70.582476749877628</v>
      </c>
    </row>
    <row r="10" spans="1:5" x14ac:dyDescent="0.2">
      <c r="A10" t="s">
        <v>12</v>
      </c>
      <c r="B10" t="s">
        <v>263</v>
      </c>
      <c r="C10">
        <v>6.36</v>
      </c>
      <c r="D10">
        <v>23.02</v>
      </c>
      <c r="E10">
        <f t="shared" si="0"/>
        <v>78.352620830496932</v>
      </c>
    </row>
    <row r="11" spans="1:5" x14ac:dyDescent="0.2">
      <c r="A11" t="s">
        <v>13</v>
      </c>
      <c r="B11" t="s">
        <v>263</v>
      </c>
      <c r="C11">
        <v>8.2100000000000009</v>
      </c>
      <c r="D11">
        <v>16.010000000000002</v>
      </c>
      <c r="E11">
        <f t="shared" si="0"/>
        <v>66.102394715111473</v>
      </c>
    </row>
    <row r="12" spans="1:5" x14ac:dyDescent="0.2">
      <c r="A12" t="s">
        <v>32</v>
      </c>
      <c r="B12" t="s">
        <v>264</v>
      </c>
      <c r="C12">
        <v>8.5</v>
      </c>
      <c r="D12">
        <v>7.35</v>
      </c>
      <c r="E12">
        <f t="shared" si="0"/>
        <v>46.372239747634069</v>
      </c>
    </row>
    <row r="13" spans="1:5" x14ac:dyDescent="0.2">
      <c r="A13" t="s">
        <v>210</v>
      </c>
      <c r="B13" t="s">
        <v>264</v>
      </c>
      <c r="C13">
        <v>7.92</v>
      </c>
      <c r="D13">
        <v>13.09</v>
      </c>
      <c r="E13">
        <f t="shared" si="0"/>
        <v>62.303664921465973</v>
      </c>
    </row>
    <row r="14" spans="1:5" x14ac:dyDescent="0.2">
      <c r="A14" t="s">
        <v>34</v>
      </c>
      <c r="B14" t="s">
        <v>264</v>
      </c>
      <c r="C14">
        <v>8.4499999999999993</v>
      </c>
      <c r="D14">
        <v>13.78</v>
      </c>
      <c r="E14">
        <f t="shared" si="0"/>
        <v>61.988304093567258</v>
      </c>
    </row>
    <row r="15" spans="1:5" x14ac:dyDescent="0.2">
      <c r="A15" t="s">
        <v>35</v>
      </c>
      <c r="B15" t="s">
        <v>264</v>
      </c>
      <c r="C15">
        <v>12.95</v>
      </c>
      <c r="D15">
        <v>11.12</v>
      </c>
      <c r="E15">
        <f t="shared" si="0"/>
        <v>46.198587453261318</v>
      </c>
    </row>
    <row r="16" spans="1:5" x14ac:dyDescent="0.2">
      <c r="A16" t="s">
        <v>226</v>
      </c>
      <c r="B16" t="s">
        <v>264</v>
      </c>
      <c r="C16">
        <v>5.3</v>
      </c>
      <c r="D16">
        <v>9.4700000000000006</v>
      </c>
      <c r="E16">
        <f t="shared" si="0"/>
        <v>64.116452268111047</v>
      </c>
    </row>
    <row r="17" spans="1:5" x14ac:dyDescent="0.2">
      <c r="A17" t="s">
        <v>224</v>
      </c>
      <c r="B17" t="s">
        <v>264</v>
      </c>
      <c r="C17">
        <v>16.03</v>
      </c>
      <c r="D17">
        <v>17.48</v>
      </c>
      <c r="E17">
        <f t="shared" si="0"/>
        <v>52.163533273649655</v>
      </c>
    </row>
    <row r="18" spans="1:5" x14ac:dyDescent="0.2">
      <c r="A18" t="s">
        <v>36</v>
      </c>
      <c r="B18" t="s">
        <v>264</v>
      </c>
      <c r="C18">
        <v>9.35</v>
      </c>
      <c r="D18">
        <v>15.29</v>
      </c>
      <c r="E18">
        <f t="shared" si="0"/>
        <v>62.053571428571416</v>
      </c>
    </row>
    <row r="19" spans="1:5" x14ac:dyDescent="0.2">
      <c r="A19" t="s">
        <v>37</v>
      </c>
      <c r="B19" t="s">
        <v>264</v>
      </c>
      <c r="C19">
        <v>7.93</v>
      </c>
      <c r="D19">
        <v>13.1</v>
      </c>
      <c r="E19">
        <f t="shared" si="0"/>
        <v>62.291963861150734</v>
      </c>
    </row>
    <row r="20" spans="1:5" x14ac:dyDescent="0.2">
      <c r="A20" t="s">
        <v>38</v>
      </c>
      <c r="B20" t="s">
        <v>264</v>
      </c>
      <c r="C20">
        <v>4.26</v>
      </c>
      <c r="D20">
        <v>5.32</v>
      </c>
      <c r="E20">
        <f t="shared" si="0"/>
        <v>55.532359081419628</v>
      </c>
    </row>
    <row r="21" spans="1:5" x14ac:dyDescent="0.2">
      <c r="A21" t="s">
        <v>39</v>
      </c>
      <c r="B21" t="s">
        <v>264</v>
      </c>
      <c r="C21">
        <v>10.82</v>
      </c>
      <c r="D21">
        <v>7.6</v>
      </c>
      <c r="E21">
        <f t="shared" si="0"/>
        <v>41.259500542888162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48AE-CE5C-4A89-AD9B-D82457C23074}">
  <dimension ref="A1:AH12"/>
  <sheetViews>
    <sheetView workbookViewId="0">
      <selection activeCell="T13" sqref="T13"/>
    </sheetView>
  </sheetViews>
  <sheetFormatPr baseColWidth="10" defaultColWidth="8.83203125" defaultRowHeight="15" x14ac:dyDescent="0.2"/>
  <cols>
    <col min="1" max="1" width="13" customWidth="1"/>
    <col min="8" max="8" width="13.1640625" customWidth="1"/>
  </cols>
  <sheetData>
    <row r="1" spans="1:34" x14ac:dyDescent="0.2">
      <c r="A1" t="s">
        <v>246</v>
      </c>
      <c r="B1" t="s">
        <v>255</v>
      </c>
      <c r="C1" t="s">
        <v>254</v>
      </c>
      <c r="D1" t="s">
        <v>253</v>
      </c>
      <c r="H1" t="s">
        <v>245</v>
      </c>
      <c r="I1" t="s">
        <v>255</v>
      </c>
      <c r="J1" t="s">
        <v>254</v>
      </c>
      <c r="K1" t="s">
        <v>253</v>
      </c>
      <c r="O1" s="8" t="s">
        <v>250</v>
      </c>
      <c r="P1" s="8"/>
      <c r="Q1" s="8"/>
      <c r="R1" s="8"/>
      <c r="S1" s="8"/>
      <c r="T1" s="8"/>
      <c r="U1" s="8"/>
      <c r="V1" s="8"/>
      <c r="W1" s="8"/>
      <c r="X1" s="8"/>
      <c r="Y1" s="8" t="s">
        <v>249</v>
      </c>
      <c r="Z1" s="8"/>
      <c r="AA1" s="8"/>
      <c r="AB1" s="8"/>
      <c r="AC1" s="8"/>
      <c r="AD1" s="8"/>
      <c r="AE1" s="8"/>
      <c r="AF1" s="8"/>
      <c r="AG1" s="8"/>
      <c r="AH1" s="8"/>
    </row>
    <row r="2" spans="1:34" x14ac:dyDescent="0.2">
      <c r="A2" s="2" t="s">
        <v>248</v>
      </c>
      <c r="B2">
        <v>44.47</v>
      </c>
      <c r="C2">
        <v>61.97</v>
      </c>
      <c r="D2">
        <f t="shared" ref="D2:D11" si="0">C2/(B2+C2)*100</f>
        <v>58.220593761743714</v>
      </c>
      <c r="H2" s="2" t="s">
        <v>241</v>
      </c>
      <c r="I2">
        <v>17.52</v>
      </c>
      <c r="J2">
        <v>36.46</v>
      </c>
      <c r="K2">
        <f t="shared" ref="K2:K11" si="1">J2/(I2+J2)*100</f>
        <v>67.543534642460173</v>
      </c>
      <c r="O2" t="s">
        <v>248</v>
      </c>
      <c r="P2" t="s">
        <v>257</v>
      </c>
      <c r="Q2" t="s">
        <v>192</v>
      </c>
      <c r="R2" t="s">
        <v>193</v>
      </c>
      <c r="S2" t="s">
        <v>194</v>
      </c>
      <c r="T2" t="s">
        <v>195</v>
      </c>
      <c r="U2" t="s">
        <v>247</v>
      </c>
      <c r="V2" t="s">
        <v>244</v>
      </c>
      <c r="W2" t="s">
        <v>243</v>
      </c>
      <c r="X2" t="s">
        <v>242</v>
      </c>
      <c r="Y2" t="s">
        <v>241</v>
      </c>
      <c r="Z2" t="s">
        <v>240</v>
      </c>
      <c r="AA2" t="s">
        <v>198</v>
      </c>
      <c r="AB2" t="s">
        <v>199</v>
      </c>
      <c r="AC2" t="s">
        <v>200</v>
      </c>
      <c r="AD2" t="s">
        <v>201</v>
      </c>
      <c r="AE2" t="s">
        <v>239</v>
      </c>
      <c r="AF2" t="s">
        <v>238</v>
      </c>
      <c r="AG2" t="s">
        <v>237</v>
      </c>
      <c r="AH2" t="s">
        <v>236</v>
      </c>
    </row>
    <row r="3" spans="1:34" x14ac:dyDescent="0.2">
      <c r="A3" s="2" t="s">
        <v>257</v>
      </c>
      <c r="B3">
        <v>39.39</v>
      </c>
      <c r="C3">
        <v>45.04</v>
      </c>
      <c r="D3">
        <f t="shared" si="0"/>
        <v>53.345967073315173</v>
      </c>
      <c r="H3" s="2" t="s">
        <v>240</v>
      </c>
      <c r="I3">
        <v>26.41</v>
      </c>
      <c r="J3">
        <v>53.98</v>
      </c>
      <c r="K3">
        <f t="shared" si="1"/>
        <v>67.147655180992658</v>
      </c>
      <c r="N3" t="s">
        <v>253</v>
      </c>
      <c r="O3">
        <v>58.220593761743714</v>
      </c>
      <c r="P3">
        <v>53.345967073315173</v>
      </c>
      <c r="Q3">
        <v>42.5</v>
      </c>
      <c r="R3">
        <v>54.01920438957476</v>
      </c>
      <c r="S3">
        <v>49.399599733155434</v>
      </c>
      <c r="T3">
        <v>57.522376690154253</v>
      </c>
      <c r="U3">
        <f>C8/(B8+C8)*100</f>
        <v>54.116059379217283</v>
      </c>
      <c r="V3">
        <v>57.819987801690345</v>
      </c>
      <c r="W3">
        <v>56.849315068493148</v>
      </c>
      <c r="X3">
        <v>42.726811961479974</v>
      </c>
      <c r="Y3">
        <v>67.543534642460173</v>
      </c>
      <c r="Z3">
        <v>67.147655180992658</v>
      </c>
      <c r="AA3">
        <v>58.718054410552355</v>
      </c>
      <c r="AB3">
        <v>69.883412212859284</v>
      </c>
      <c r="AC3">
        <v>65.475630778874788</v>
      </c>
      <c r="AD3">
        <v>73.270823185582074</v>
      </c>
      <c r="AE3">
        <v>73.706599218211082</v>
      </c>
      <c r="AF3">
        <v>65.356529209621996</v>
      </c>
      <c r="AG3">
        <v>54.082137555665511</v>
      </c>
      <c r="AH3">
        <v>69.026735707492335</v>
      </c>
    </row>
    <row r="4" spans="1:34" x14ac:dyDescent="0.2">
      <c r="A4" s="2" t="s">
        <v>192</v>
      </c>
      <c r="B4">
        <v>25.99</v>
      </c>
      <c r="C4">
        <v>19.21</v>
      </c>
      <c r="D4">
        <f t="shared" si="0"/>
        <v>42.5</v>
      </c>
      <c r="H4" s="2" t="s">
        <v>198</v>
      </c>
      <c r="I4">
        <v>20.03</v>
      </c>
      <c r="J4">
        <v>28.49</v>
      </c>
      <c r="K4">
        <f t="shared" si="1"/>
        <v>58.718054410552355</v>
      </c>
      <c r="N4" t="s">
        <v>153</v>
      </c>
      <c r="O4" s="8">
        <f>AVERAGE(O3:X3)</f>
        <v>52.651991585882399</v>
      </c>
      <c r="P4" s="8"/>
      <c r="Q4" s="8"/>
      <c r="R4" s="8"/>
      <c r="S4" s="8"/>
      <c r="T4" s="8"/>
      <c r="U4" s="8"/>
      <c r="V4" s="8"/>
      <c r="W4" s="8"/>
      <c r="X4" s="8"/>
      <c r="Y4" s="8">
        <f>AVERAGE(Y3:AH3)</f>
        <v>66.421111210231217</v>
      </c>
      <c r="Z4" s="8"/>
      <c r="AA4" s="8"/>
      <c r="AB4" s="8"/>
      <c r="AC4" s="8"/>
      <c r="AD4" s="8"/>
      <c r="AE4" s="8"/>
      <c r="AF4" s="8"/>
      <c r="AG4" s="8"/>
      <c r="AH4" s="8"/>
    </row>
    <row r="5" spans="1:34" x14ac:dyDescent="0.2">
      <c r="A5" s="2" t="s">
        <v>193</v>
      </c>
      <c r="B5">
        <v>33.520000000000003</v>
      </c>
      <c r="C5">
        <v>39.380000000000003</v>
      </c>
      <c r="D5">
        <f t="shared" si="0"/>
        <v>54.01920438957476</v>
      </c>
      <c r="H5" s="2" t="s">
        <v>199</v>
      </c>
      <c r="I5">
        <v>26.09</v>
      </c>
      <c r="J5">
        <v>60.54</v>
      </c>
      <c r="K5">
        <f t="shared" si="1"/>
        <v>69.883412212859284</v>
      </c>
      <c r="N5" t="s">
        <v>152</v>
      </c>
      <c r="O5" s="8" t="s">
        <v>256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x14ac:dyDescent="0.2">
      <c r="A6" s="2" t="s">
        <v>194</v>
      </c>
      <c r="B6">
        <v>30.34</v>
      </c>
      <c r="C6">
        <v>29.62</v>
      </c>
      <c r="D6">
        <f t="shared" si="0"/>
        <v>49.399599733155434</v>
      </c>
      <c r="H6" s="2" t="s">
        <v>200</v>
      </c>
      <c r="I6">
        <v>22.03</v>
      </c>
      <c r="J6">
        <v>41.78</v>
      </c>
      <c r="K6">
        <f t="shared" si="1"/>
        <v>65.475630778874788</v>
      </c>
    </row>
    <row r="7" spans="1:34" x14ac:dyDescent="0.2">
      <c r="A7" s="2" t="s">
        <v>195</v>
      </c>
      <c r="B7">
        <v>44.61</v>
      </c>
      <c r="C7">
        <v>60.41</v>
      </c>
      <c r="D7">
        <f t="shared" si="0"/>
        <v>57.522376690154253</v>
      </c>
      <c r="H7" s="2" t="s">
        <v>201</v>
      </c>
      <c r="I7">
        <v>21.95</v>
      </c>
      <c r="J7">
        <v>60.17</v>
      </c>
      <c r="K7">
        <f t="shared" si="1"/>
        <v>73.270823185582074</v>
      </c>
    </row>
    <row r="8" spans="1:34" x14ac:dyDescent="0.2">
      <c r="A8" s="2" t="s">
        <v>247</v>
      </c>
      <c r="B8">
        <v>17</v>
      </c>
      <c r="C8">
        <v>20.05</v>
      </c>
      <c r="D8">
        <f t="shared" si="0"/>
        <v>54.116059379217283</v>
      </c>
      <c r="H8" s="2" t="s">
        <v>239</v>
      </c>
      <c r="I8">
        <v>22.87</v>
      </c>
      <c r="J8">
        <v>64.11</v>
      </c>
      <c r="K8">
        <f t="shared" si="1"/>
        <v>73.706599218211082</v>
      </c>
    </row>
    <row r="9" spans="1:34" x14ac:dyDescent="0.2">
      <c r="A9" s="2" t="s">
        <v>244</v>
      </c>
      <c r="B9">
        <v>48.41</v>
      </c>
      <c r="C9">
        <v>66.36</v>
      </c>
      <c r="D9">
        <f t="shared" si="0"/>
        <v>57.819987801690345</v>
      </c>
      <c r="H9" s="2" t="s">
        <v>238</v>
      </c>
      <c r="I9">
        <v>16.13</v>
      </c>
      <c r="J9">
        <v>30.43</v>
      </c>
      <c r="K9">
        <f t="shared" si="1"/>
        <v>65.356529209621996</v>
      </c>
    </row>
    <row r="10" spans="1:34" x14ac:dyDescent="0.2">
      <c r="A10" s="2" t="s">
        <v>243</v>
      </c>
      <c r="B10">
        <v>18.27</v>
      </c>
      <c r="C10">
        <v>24.07</v>
      </c>
      <c r="D10">
        <f t="shared" si="0"/>
        <v>56.849315068493148</v>
      </c>
      <c r="H10" s="2" t="s">
        <v>237</v>
      </c>
      <c r="I10">
        <v>27.84</v>
      </c>
      <c r="J10">
        <v>32.79</v>
      </c>
      <c r="K10">
        <f t="shared" si="1"/>
        <v>54.082137555665511</v>
      </c>
    </row>
    <row r="11" spans="1:34" x14ac:dyDescent="0.2">
      <c r="A11" s="2" t="s">
        <v>242</v>
      </c>
      <c r="B11">
        <v>22.6</v>
      </c>
      <c r="C11">
        <v>16.86</v>
      </c>
      <c r="D11">
        <f t="shared" si="0"/>
        <v>42.726811961479974</v>
      </c>
      <c r="H11" s="2" t="s">
        <v>236</v>
      </c>
      <c r="I11">
        <v>29.31</v>
      </c>
      <c r="J11">
        <v>65.319999999999993</v>
      </c>
      <c r="K11">
        <f t="shared" si="1"/>
        <v>69.026735707492335</v>
      </c>
    </row>
    <row r="12" spans="1:34" x14ac:dyDescent="0.2"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</sheetData>
  <mergeCells count="7">
    <mergeCell ref="O1:X1"/>
    <mergeCell ref="Y1:AH1"/>
    <mergeCell ref="O4:X4"/>
    <mergeCell ref="Y4:AH4"/>
    <mergeCell ref="O12:X12"/>
    <mergeCell ref="Y12:AH12"/>
    <mergeCell ref="O5:AH5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Characteristics of the study po</vt:lpstr>
      <vt:lpstr>FITC-Dextran</vt:lpstr>
      <vt:lpstr>Immunofluorescence staining</vt:lpstr>
      <vt:lpstr>western blot</vt:lpstr>
      <vt:lpstr>WB Re-organized</vt:lpstr>
      <vt:lpstr>MWM CE D1-D5</vt:lpstr>
      <vt:lpstr>MWM CE D6</vt:lpstr>
      <vt:lpstr>MWM MF D1-D5</vt:lpstr>
      <vt:lpstr>MWM MF D6</vt:lpstr>
      <vt:lpstr>NOR CE</vt:lpstr>
      <vt:lpstr>NOR CE Re-organized</vt:lpstr>
      <vt:lpstr>NOR 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lchgu</dc:creator>
  <cp:lastModifiedBy>Nikhila Kalapatapu</cp:lastModifiedBy>
  <dcterms:created xsi:type="dcterms:W3CDTF">2023-02-07T07:55:10Z</dcterms:created>
  <dcterms:modified xsi:type="dcterms:W3CDTF">2026-04-07T23:11:49Z</dcterms:modified>
</cp:coreProperties>
</file>